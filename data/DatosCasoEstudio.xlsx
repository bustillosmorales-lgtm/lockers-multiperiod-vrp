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polec-my.sharepoint.com/personal/dade_espol_edu_ec/Documents/Investigación/LACCEI2024/"/>
    </mc:Choice>
  </mc:AlternateContent>
  <xr:revisionPtr revIDLastSave="348" documentId="8_{69BD0749-0325-4059-9613-143E6B9C2404}" xr6:coauthVersionLast="47" xr6:coauthVersionMax="47" xr10:uidLastSave="{67EFD35A-EFA6-4ED3-A32A-C5737738FFEA}"/>
  <bookViews>
    <workbookView xWindow="-98" yWindow="-98" windowWidth="21795" windowHeight="13335" activeTab="1" xr2:uid="{7310DCAB-4CA6-4144-BE3A-1E68CDF9713C}"/>
  </bookViews>
  <sheets>
    <sheet name="Distribución Kandoo Lockers- Ub" sheetId="1" r:id="rId1"/>
    <sheet name="Datos" sheetId="2" r:id="rId2"/>
    <sheet name="GAMS" sheetId="3" r:id="rId3"/>
    <sheet name="Result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2" l="1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K21" i="4"/>
  <c r="K22" i="4" s="1"/>
  <c r="K23" i="4" s="1"/>
  <c r="K24" i="4" s="1"/>
  <c r="K25" i="4" s="1"/>
  <c r="K26" i="4" s="1"/>
  <c r="K27" i="4" s="1"/>
  <c r="L21" i="4"/>
  <c r="L22" i="4" s="1"/>
  <c r="L23" i="4" s="1"/>
  <c r="L24" i="4" s="1"/>
  <c r="L25" i="4" s="1"/>
  <c r="L26" i="4" s="1"/>
  <c r="L27" i="4" s="1"/>
  <c r="M21" i="4"/>
  <c r="M22" i="4" s="1"/>
  <c r="M23" i="4" s="1"/>
  <c r="M24" i="4" s="1"/>
  <c r="M25" i="4" s="1"/>
  <c r="M26" i="4" s="1"/>
  <c r="M27" i="4" s="1"/>
  <c r="N21" i="4"/>
  <c r="N22" i="4" s="1"/>
  <c r="N23" i="4" s="1"/>
  <c r="N24" i="4" s="1"/>
  <c r="N25" i="4" s="1"/>
  <c r="N26" i="4" s="1"/>
  <c r="N27" i="4" s="1"/>
  <c r="O21" i="4"/>
  <c r="O22" i="4" s="1"/>
  <c r="O23" i="4" s="1"/>
  <c r="O24" i="4" s="1"/>
  <c r="O25" i="4" s="1"/>
  <c r="P21" i="4"/>
  <c r="P22" i="4" s="1"/>
  <c r="P23" i="4" s="1"/>
  <c r="P24" i="4" s="1"/>
  <c r="P25" i="4" s="1"/>
  <c r="P26" i="4" s="1"/>
  <c r="P27" i="4" s="1"/>
  <c r="Q21" i="4"/>
  <c r="R21" i="4"/>
  <c r="H21" i="4"/>
  <c r="F26" i="4"/>
  <c r="F27" i="4" s="1"/>
  <c r="I25" i="4"/>
  <c r="AL46" i="4"/>
  <c r="AL45" i="4"/>
  <c r="AL44" i="4"/>
  <c r="AL43" i="4"/>
  <c r="AL42" i="4"/>
  <c r="AL41" i="4"/>
  <c r="AL40" i="4"/>
  <c r="AL39" i="4"/>
  <c r="AL38" i="4"/>
  <c r="AL37" i="4"/>
  <c r="AL35" i="4"/>
  <c r="AL34" i="4"/>
  <c r="AL33" i="4"/>
  <c r="AL32" i="4"/>
  <c r="AL36" i="4"/>
  <c r="S34" i="4"/>
  <c r="S35" i="4"/>
  <c r="S36" i="4"/>
  <c r="S37" i="4"/>
  <c r="S38" i="4"/>
  <c r="S39" i="4"/>
  <c r="S40" i="4"/>
  <c r="S32" i="4"/>
  <c r="S20" i="4"/>
  <c r="G24" i="4"/>
  <c r="G25" i="4" s="1"/>
  <c r="G26" i="4" s="1"/>
  <c r="G27" i="4" s="1"/>
  <c r="I23" i="4"/>
  <c r="I24" i="4" s="1"/>
  <c r="I26" i="4" s="1"/>
  <c r="I27" i="4" s="1"/>
  <c r="H22" i="4"/>
  <c r="H23" i="4" s="1"/>
  <c r="H24" i="4" s="1"/>
  <c r="H25" i="4" s="1"/>
  <c r="H26" i="4" s="1"/>
  <c r="H27" i="4" s="1"/>
  <c r="J22" i="4"/>
  <c r="J23" i="4" s="1"/>
  <c r="J24" i="4" s="1"/>
  <c r="J25" i="4" s="1"/>
  <c r="J26" i="4" s="1"/>
  <c r="E21" i="4"/>
  <c r="E22" i="4" s="1"/>
  <c r="E23" i="4" s="1"/>
  <c r="E25" i="4" s="1"/>
  <c r="E26" i="4" s="1"/>
  <c r="E27" i="4" s="1"/>
  <c r="F21" i="4"/>
  <c r="F22" i="4" s="1"/>
  <c r="F23" i="4" s="1"/>
  <c r="F24" i="4" s="1"/>
  <c r="G21" i="4"/>
  <c r="G22" i="4" s="1"/>
  <c r="I21" i="4"/>
  <c r="J21" i="4"/>
  <c r="Q22" i="4"/>
  <c r="Q23" i="4" s="1"/>
  <c r="Q24" i="4" s="1"/>
  <c r="Q25" i="4" s="1"/>
  <c r="Q26" i="4" s="1"/>
  <c r="Q27" i="4" s="1"/>
  <c r="R22" i="4"/>
  <c r="R23" i="4" s="1"/>
  <c r="R24" i="4" s="1"/>
  <c r="R25" i="4" s="1"/>
  <c r="R26" i="4" s="1"/>
  <c r="R27" i="4" s="1"/>
  <c r="D21" i="4"/>
  <c r="D22" i="4" s="1"/>
  <c r="D23" i="4" s="1"/>
  <c r="D24" i="4" s="1"/>
  <c r="D25" i="4" s="1"/>
  <c r="D26" i="4" s="1"/>
  <c r="D27" i="4" s="1"/>
  <c r="R19" i="3"/>
  <c r="R22" i="3" s="1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B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39" i="3" s="1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O27" i="4" l="1"/>
  <c r="S27" i="4"/>
  <c r="S26" i="4"/>
  <c r="S25" i="4"/>
  <c r="S24" i="4"/>
  <c r="S23" i="4"/>
  <c r="S22" i="4"/>
  <c r="S21" i="4"/>
  <c r="S33" i="4"/>
</calcChain>
</file>

<file path=xl/sharedStrings.xml><?xml version="1.0" encoding="utf-8"?>
<sst xmlns="http://schemas.openxmlformats.org/spreadsheetml/2006/main" count="230" uniqueCount="58">
  <si>
    <t>LOCKERS</t>
  </si>
  <si>
    <t>LONGITUD</t>
  </si>
  <si>
    <t>LATITUD</t>
  </si>
  <si>
    <t>Depósito</t>
  </si>
  <si>
    <t xml:space="preserve"> Paseo Shopping,</t>
  </si>
  <si>
    <t xml:space="preserve"> Gimnasio Taurus Samanes,</t>
  </si>
  <si>
    <t xml:space="preserve"> Mall del Sol,</t>
  </si>
  <si>
    <t xml:space="preserve"> Comisariato Mucho Lote,</t>
  </si>
  <si>
    <t xml:space="preserve"> CC El Dorado,</t>
  </si>
  <si>
    <t xml:space="preserve"> Supermaxi La Joya,</t>
  </si>
  <si>
    <t xml:space="preserve"> Plaza BatÃ¡n,</t>
  </si>
  <si>
    <t xml:space="preserve"> Riocentro Sur,</t>
  </si>
  <si>
    <t xml:space="preserve"> De Prati Sur,</t>
  </si>
  <si>
    <t xml:space="preserve"> De Prati Centro,</t>
  </si>
  <si>
    <t xml:space="preserve"> Gasolinera Petroecuador,</t>
  </si>
  <si>
    <t xml:space="preserve"> Primax SamborondÃ³n,</t>
  </si>
  <si>
    <t xml:space="preserve"> Primax Pto. Azul,</t>
  </si>
  <si>
    <t xml:space="preserve"> Terpel ChongÃ³n,</t>
  </si>
  <si>
    <t xml:space="preserve"> Aki San Eduardo,</t>
  </si>
  <si>
    <t xml:space="preserve"> Paseo Shopping</t>
  </si>
  <si>
    <t xml:space="preserve"> Gimnasio Taurus Samanes</t>
  </si>
  <si>
    <t xml:space="preserve"> Mall del Sol</t>
  </si>
  <si>
    <t xml:space="preserve"> Comisariato Mucho Lote</t>
  </si>
  <si>
    <t xml:space="preserve"> CC El Dorado</t>
  </si>
  <si>
    <t xml:space="preserve"> Supermaxi La Joya</t>
  </si>
  <si>
    <t xml:space="preserve"> Plaza Batán</t>
  </si>
  <si>
    <t xml:space="preserve"> Riocentro Sur</t>
  </si>
  <si>
    <t xml:space="preserve"> De Prati Sur</t>
  </si>
  <si>
    <t xml:space="preserve"> De Prati Centro</t>
  </si>
  <si>
    <t xml:space="preserve"> Gasolinera Petroecuador</t>
  </si>
  <si>
    <t xml:space="preserve"> Primax Samborondón</t>
  </si>
  <si>
    <t xml:space="preserve"> Primax Pto. Azul</t>
  </si>
  <si>
    <t xml:space="preserve"> Terpel Chongón</t>
  </si>
  <si>
    <t xml:space="preserve"> Aki San Eduardo</t>
  </si>
  <si>
    <t>Ubicación Lockers</t>
  </si>
  <si>
    <t>Total Envíos</t>
  </si>
  <si>
    <t>Total Recibidos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</si>
  <si>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</si>
  <si>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</si>
  <si>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</si>
  <si>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</si>
  <si>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</si>
  <si>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</si>
  <si>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</si>
  <si>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</si>
  <si>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</si>
  <si>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</si>
  <si>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</si>
  <si>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</si>
  <si>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</si>
  <si>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</si>
  <si>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</si>
  <si>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</si>
  <si>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Locker k</t>
  </si>
  <si>
    <t>Arista (I,j)</t>
  </si>
  <si>
    <t>Total paquetes transportados</t>
  </si>
  <si>
    <t>Vehículo repartidor 1</t>
  </si>
  <si>
    <t>Vehículo repartidor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</si>
</sst>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7" tint="1.9989623706778162E-2"/>
        <bgColor indexed="64"/>
      </patternFill>
    </fill>
    <fill>
      <patternFill patternType="solid">
        <fgColor indexed="17" tint="-1.9989623706778162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2" fontId="3" fillId="3" borderId="0" xfId="0" applyNumberFormat="1" applyFont="1" applyFill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2" fontId="3" fillId="4" borderId="2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/>
    </xf>
    <xf numFmtId="1" fontId="3" fillId="3" borderId="1" xfId="0" applyNumberFormat="1" applyFont="1" applyFill="1" applyBorder="1" applyAlignment="1">
      <alignment horizontal="left"/>
    </xf>
    <xf numFmtId="0" fontId="0" fillId="0" borderId="0" xfId="0" quotePrefix="1"/>
    <xf numFmtId="2" fontId="4" fillId="6" borderId="0" xfId="0" applyNumberFormat="1" applyFont="1" applyFill="1"/>
    <xf numFmtId="2" fontId="0" fillId="0" borderId="0" xfId="0" applyNumberFormat="1"/>
    <xf numFmtId="0" fontId="7" fillId="5" borderId="0" xfId="0" quotePrefix="1" applyFont="1" applyFill="1"/>
    <xf numFmtId="0" fontId="7" fillId="5" borderId="0" xfId="0" applyFont="1" applyFill="1" applyAlignment="1">
      <alignment horizontal="center"/>
    </xf>
    <xf numFmtId="41" fontId="6" fillId="0" borderId="0" xfId="0" applyNumberFormat="1" applyFont="1" applyAlignment="1">
      <alignment horizontal="center"/>
    </xf>
    <xf numFmtId="41" fontId="0" fillId="0" borderId="4" xfId="0" applyNumberFormat="1" applyBorder="1" applyAlignment="1">
      <alignment horizontal="left"/>
    </xf>
    <xf numFmtId="41" fontId="0" fillId="0" borderId="5" xfId="0" applyNumberFormat="1" applyBorder="1" applyAlignment="1">
      <alignment horizontal="left"/>
    </xf>
    <xf numFmtId="41" fontId="0" fillId="0" borderId="6" xfId="0" applyNumberFormat="1" applyBorder="1" applyAlignment="1">
      <alignment horizontal="left"/>
    </xf>
    <xf numFmtId="0" fontId="0" fillId="6" borderId="0" xfId="0" applyFill="1"/>
    <xf numFmtId="164" fontId="6" fillId="0" borderId="0" xfId="0" applyNumberFormat="1" applyFont="1" applyAlignment="1">
      <alignment horizontal="center"/>
    </xf>
    <xf numFmtId="164" fontId="0" fillId="0" borderId="0" xfId="0" applyNumberFormat="1"/>
    <xf numFmtId="0" fontId="4" fillId="6" borderId="0" xfId="0" applyFont="1" applyFill="1"/>
    <xf numFmtId="0" fontId="8" fillId="7" borderId="3" xfId="0" applyFont="1" applyFill="1" applyBorder="1" applyAlignment="1">
      <alignment horizontal="center" vertical="center" wrapText="1"/>
    </xf>
    <xf numFmtId="41" fontId="6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0" fillId="7" borderId="3" xfId="0" applyFont="1" applyFill="1" applyBorder="1" applyAlignment="1">
      <alignment horizontal="center" vertical="center" wrapText="1"/>
    </xf>
    <xf numFmtId="41" fontId="2" fillId="0" borderId="3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41" fontId="9" fillId="7" borderId="15" xfId="0" applyNumberFormat="1" applyFont="1" applyFill="1" applyBorder="1" applyAlignment="1">
      <alignment horizontal="center"/>
    </xf>
    <xf numFmtId="41" fontId="0" fillId="0" borderId="16" xfId="0" applyNumberFormat="1" applyBorder="1" applyAlignment="1">
      <alignment horizontal="left"/>
    </xf>
    <xf numFmtId="164" fontId="5" fillId="7" borderId="15" xfId="0" applyNumberFormat="1" applyFont="1" applyFill="1" applyBorder="1"/>
    <xf numFmtId="164" fontId="7" fillId="7" borderId="15" xfId="0" applyNumberFormat="1" applyFont="1" applyFill="1" applyBorder="1" applyAlignment="1">
      <alignment horizontal="center"/>
    </xf>
    <xf numFmtId="1" fontId="2" fillId="0" borderId="0" xfId="0" applyNumberFormat="1" applyFont="1"/>
    <xf numFmtId="0" fontId="5" fillId="0" borderId="10" xfId="0" applyFont="1" applyBorder="1" applyAlignment="1">
      <alignment horizontal="center" vertical="center" textRotation="180"/>
    </xf>
    <xf numFmtId="0" fontId="5" fillId="0" borderId="0" xfId="0" applyFont="1" applyAlignment="1">
      <alignment horizontal="center" vertical="center" textRotation="180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textRotation="180"/>
    </xf>
    <xf numFmtId="0" fontId="5" fillId="0" borderId="6" xfId="0" applyFont="1" applyBorder="1" applyAlignment="1">
      <alignment horizontal="center" vertical="center" textRotation="180"/>
    </xf>
    <xf numFmtId="0" fontId="5" fillId="5" borderId="0" xfId="0" applyFont="1" applyFill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BC10-9B62-45BC-95FF-5302C1E61EA0}">
  <dimension ref="A1:C17"/>
  <sheetViews>
    <sheetView workbookViewId="0">
      <selection activeCell="G6" sqref="G6"/>
    </sheetView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</row>
    <row r="3" spans="1:3" x14ac:dyDescent="0.45">
      <c r="A3" t="s">
        <v>4</v>
      </c>
      <c r="B3">
        <v>-79.9340799</v>
      </c>
      <c r="C3">
        <v>-2.1143369999999999</v>
      </c>
    </row>
    <row r="4" spans="1:3" x14ac:dyDescent="0.45">
      <c r="A4" t="s">
        <v>5</v>
      </c>
      <c r="B4">
        <v>-79.898469800000001</v>
      </c>
      <c r="C4">
        <v>-2.1113387000000001</v>
      </c>
    </row>
    <row r="5" spans="1:3" x14ac:dyDescent="0.45">
      <c r="A5" t="s">
        <v>6</v>
      </c>
      <c r="B5">
        <v>-79.892714699999999</v>
      </c>
      <c r="C5">
        <v>-2.1551125</v>
      </c>
    </row>
    <row r="6" spans="1:3" x14ac:dyDescent="0.45">
      <c r="A6" t="s">
        <v>7</v>
      </c>
      <c r="B6">
        <v>-79.898289700000007</v>
      </c>
      <c r="C6">
        <v>-2.0693543999999999</v>
      </c>
    </row>
    <row r="7" spans="1:3" x14ac:dyDescent="0.45">
      <c r="A7" t="s">
        <v>8</v>
      </c>
      <c r="B7">
        <v>-79.874219199999999</v>
      </c>
      <c r="C7">
        <v>-2.0546323000000002</v>
      </c>
    </row>
    <row r="8" spans="1:3" x14ac:dyDescent="0.45">
      <c r="A8" t="s">
        <v>9</v>
      </c>
      <c r="B8">
        <v>-79.914481300000006</v>
      </c>
      <c r="C8">
        <v>-2.0493144000000001</v>
      </c>
    </row>
    <row r="9" spans="1:3" x14ac:dyDescent="0.45">
      <c r="A9" t="s">
        <v>10</v>
      </c>
      <c r="B9">
        <v>-79.872746300000003</v>
      </c>
      <c r="C9">
        <v>-2.0727128000000001</v>
      </c>
    </row>
    <row r="10" spans="1:3" x14ac:dyDescent="0.45">
      <c r="A10" t="s">
        <v>11</v>
      </c>
      <c r="B10">
        <v>-79.895035399999998</v>
      </c>
      <c r="C10">
        <v>-2.2416111000000001</v>
      </c>
    </row>
    <row r="11" spans="1:3" x14ac:dyDescent="0.45">
      <c r="A11" t="s">
        <v>12</v>
      </c>
      <c r="B11">
        <v>-79.894304899999995</v>
      </c>
      <c r="C11">
        <v>-2.2309104999999998</v>
      </c>
    </row>
    <row r="12" spans="1:3" x14ac:dyDescent="0.45">
      <c r="A12" t="s">
        <v>13</v>
      </c>
      <c r="B12">
        <v>-79.882598999999999</v>
      </c>
      <c r="C12">
        <v>-2.1934903000000001</v>
      </c>
    </row>
    <row r="13" spans="1:3" x14ac:dyDescent="0.45">
      <c r="A13" t="s">
        <v>14</v>
      </c>
      <c r="B13">
        <v>-79.900407599999994</v>
      </c>
      <c r="C13">
        <v>-2.2008209000000001</v>
      </c>
    </row>
    <row r="14" spans="1:3" x14ac:dyDescent="0.45">
      <c r="A14" t="s">
        <v>15</v>
      </c>
      <c r="B14">
        <v>-79.863170999999994</v>
      </c>
      <c r="C14">
        <v>-2.1280971000000002</v>
      </c>
    </row>
    <row r="15" spans="1:3" x14ac:dyDescent="0.45">
      <c r="A15" t="s">
        <v>16</v>
      </c>
      <c r="B15">
        <v>-79.976981600000002</v>
      </c>
      <c r="C15">
        <v>-2.1838011000000002</v>
      </c>
    </row>
    <row r="16" spans="1:3" x14ac:dyDescent="0.45">
      <c r="A16" t="s">
        <v>17</v>
      </c>
      <c r="B16">
        <v>-80.078961500000005</v>
      </c>
      <c r="C16">
        <v>-2.2146148999999999</v>
      </c>
    </row>
    <row r="17" spans="1:3" x14ac:dyDescent="0.45">
      <c r="A17" t="s">
        <v>18</v>
      </c>
      <c r="B17">
        <v>-79.938246100000001</v>
      </c>
      <c r="C17">
        <v>-2.1937644000000001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60CB-55CF-4BDC-9819-B6218657074E}">
  <dimension ref="A1:R58"/>
  <sheetViews>
    <sheetView tabSelected="1" zoomScale="60" zoomScaleNormal="100" workbookViewId="0">
      <selection activeCell="Q40" sqref="D40:Q40"/>
    </sheetView>
  </sheetViews>
  <sheetFormatPr baseColWidth="10" defaultColWidth="14.265625" defaultRowHeight="14.25" x14ac:dyDescent="0.45"/>
  <cols>
    <col min="1" max="1" width="5" customWidth="1"/>
    <col min="2" max="2" width="31.1328125" bestFit="1" customWidth="1"/>
    <col min="13" max="13" width="15.1328125" customWidth="1"/>
    <col min="14" max="14" width="15.3984375" customWidth="1"/>
    <col min="15" max="15" width="15.73046875" customWidth="1"/>
  </cols>
  <sheetData>
    <row r="1" spans="2:18" ht="18" x14ac:dyDescent="0.55000000000000004"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</row>
    <row r="2" spans="2:18" ht="54" customHeight="1" x14ac:dyDescent="0.55000000000000004">
      <c r="B2" s="4"/>
      <c r="C2" s="14" t="s">
        <v>3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23</v>
      </c>
      <c r="I2" s="15" t="s">
        <v>24</v>
      </c>
      <c r="J2" s="15" t="s">
        <v>25</v>
      </c>
      <c r="K2" s="15" t="s">
        <v>26</v>
      </c>
      <c r="L2" s="15" t="s">
        <v>27</v>
      </c>
      <c r="M2" s="15" t="s">
        <v>28</v>
      </c>
      <c r="N2" s="15" t="s">
        <v>29</v>
      </c>
      <c r="O2" s="15" t="s">
        <v>30</v>
      </c>
      <c r="P2" s="15" t="s">
        <v>31</v>
      </c>
      <c r="Q2" s="15" t="s">
        <v>32</v>
      </c>
      <c r="R2" s="15" t="s">
        <v>33</v>
      </c>
    </row>
    <row r="3" spans="2:18" ht="18" x14ac:dyDescent="0.55000000000000004">
      <c r="B3" s="6" t="s">
        <v>3</v>
      </c>
      <c r="C3" s="7">
        <v>0</v>
      </c>
      <c r="D3" s="8">
        <v>23.143999999999998</v>
      </c>
      <c r="E3" s="9">
        <v>22.491</v>
      </c>
      <c r="F3" s="8">
        <v>22.021000000000001</v>
      </c>
      <c r="G3" s="9">
        <v>21.329000000000001</v>
      </c>
      <c r="H3" s="8">
        <v>8.7739999999999991</v>
      </c>
      <c r="I3" s="9">
        <v>13.113</v>
      </c>
      <c r="J3" s="8">
        <v>10.709</v>
      </c>
      <c r="K3" s="9">
        <v>31.815999999999999</v>
      </c>
      <c r="L3" s="8">
        <v>30.111000000000001</v>
      </c>
      <c r="M3" s="9">
        <v>25.405999999999999</v>
      </c>
      <c r="N3" s="8">
        <v>27.559000000000001</v>
      </c>
      <c r="O3" s="9">
        <v>16.489000000000001</v>
      </c>
      <c r="P3" s="8">
        <v>34.177999999999997</v>
      </c>
      <c r="Q3" s="9">
        <v>46.502000000000002</v>
      </c>
      <c r="R3" s="8">
        <v>34.844999999999999</v>
      </c>
    </row>
    <row r="4" spans="2:18" ht="18" x14ac:dyDescent="0.55000000000000004">
      <c r="B4" s="10" t="s">
        <v>19</v>
      </c>
      <c r="C4" s="9">
        <v>21.702999999999999</v>
      </c>
      <c r="D4" s="8">
        <v>0</v>
      </c>
      <c r="E4" s="9">
        <v>5.9710000000000001</v>
      </c>
      <c r="F4" s="8">
        <v>9.2319999999999993</v>
      </c>
      <c r="G4" s="9">
        <v>13.462</v>
      </c>
      <c r="H4" s="8">
        <v>20.065000000000001</v>
      </c>
      <c r="I4" s="9">
        <v>15.992000000000001</v>
      </c>
      <c r="J4" s="8">
        <v>20.491</v>
      </c>
      <c r="K4" s="9">
        <v>23.751999999999999</v>
      </c>
      <c r="L4" s="8">
        <v>23.51</v>
      </c>
      <c r="M4" s="9">
        <v>12.635999999999999</v>
      </c>
      <c r="N4" s="8">
        <v>11.862</v>
      </c>
      <c r="O4" s="9">
        <v>10.715</v>
      </c>
      <c r="P4" s="8">
        <v>12.714</v>
      </c>
      <c r="Q4" s="9">
        <v>25.038</v>
      </c>
      <c r="R4" s="8">
        <v>10.013</v>
      </c>
    </row>
    <row r="5" spans="2:18" ht="18" x14ac:dyDescent="0.55000000000000004">
      <c r="B5" s="10" t="s">
        <v>20</v>
      </c>
      <c r="C5" s="9">
        <v>17.812999999999999</v>
      </c>
      <c r="D5" s="8">
        <v>9.1259999999999994</v>
      </c>
      <c r="E5" s="9">
        <v>0</v>
      </c>
      <c r="F5" s="8">
        <v>6.0229999999999997</v>
      </c>
      <c r="G5" s="9">
        <v>9.8279999999999994</v>
      </c>
      <c r="H5" s="8">
        <v>14.58</v>
      </c>
      <c r="I5" s="9">
        <v>12.35</v>
      </c>
      <c r="J5" s="8">
        <v>12.734999999999999</v>
      </c>
      <c r="K5" s="9">
        <v>17.721</v>
      </c>
      <c r="L5" s="8">
        <v>15.138</v>
      </c>
      <c r="M5" s="9">
        <v>11.456</v>
      </c>
      <c r="N5" s="8">
        <v>12.08</v>
      </c>
      <c r="O5" s="9">
        <v>7.2469999999999999</v>
      </c>
      <c r="P5" s="8">
        <v>16.498999999999999</v>
      </c>
      <c r="Q5" s="9">
        <v>28.823</v>
      </c>
      <c r="R5" s="8">
        <v>13.798</v>
      </c>
    </row>
    <row r="6" spans="2:18" ht="18" x14ac:dyDescent="0.55000000000000004">
      <c r="B6" s="10" t="s">
        <v>21</v>
      </c>
      <c r="C6" s="9">
        <v>17.155999999999999</v>
      </c>
      <c r="D6" s="8">
        <v>11.619</v>
      </c>
      <c r="E6" s="9">
        <v>5.99</v>
      </c>
      <c r="F6" s="8">
        <v>0</v>
      </c>
      <c r="G6" s="9">
        <v>10.866</v>
      </c>
      <c r="H6" s="8">
        <v>13.814</v>
      </c>
      <c r="I6" s="9">
        <v>16.227</v>
      </c>
      <c r="J6" s="8">
        <v>11.968999999999999</v>
      </c>
      <c r="K6" s="9">
        <v>12.909000000000001</v>
      </c>
      <c r="L6" s="8">
        <v>10.326000000000001</v>
      </c>
      <c r="M6" s="9">
        <v>6.15</v>
      </c>
      <c r="N6" s="8">
        <v>7.2679999999999998</v>
      </c>
      <c r="O6" s="9">
        <v>6.4809999999999999</v>
      </c>
      <c r="P6" s="8">
        <v>15.891</v>
      </c>
      <c r="Q6" s="9">
        <v>28.215</v>
      </c>
      <c r="R6" s="8">
        <v>12.826000000000001</v>
      </c>
    </row>
    <row r="7" spans="2:18" ht="18" x14ac:dyDescent="0.55000000000000004">
      <c r="B7" s="10" t="s">
        <v>22</v>
      </c>
      <c r="C7" s="9">
        <v>11.372</v>
      </c>
      <c r="D7" s="8">
        <v>10.191000000000001</v>
      </c>
      <c r="E7" s="9">
        <v>9.375</v>
      </c>
      <c r="F7" s="8">
        <v>13.577</v>
      </c>
      <c r="G7" s="9">
        <v>0</v>
      </c>
      <c r="H7" s="8">
        <v>9.734</v>
      </c>
      <c r="I7" s="9">
        <v>5.7249999999999996</v>
      </c>
      <c r="J7" s="8">
        <v>10.16</v>
      </c>
      <c r="K7" s="9">
        <v>31.974</v>
      </c>
      <c r="L7" s="8">
        <v>31.731999999999999</v>
      </c>
      <c r="M7" s="9">
        <v>19.678000000000001</v>
      </c>
      <c r="N7" s="8">
        <v>21.811</v>
      </c>
      <c r="O7" s="9">
        <v>15.94</v>
      </c>
      <c r="P7" s="8">
        <v>21.225000000000001</v>
      </c>
      <c r="Q7" s="9">
        <v>33.548999999999999</v>
      </c>
      <c r="R7" s="8">
        <v>21.891999999999999</v>
      </c>
    </row>
    <row r="8" spans="2:18" ht="18" x14ac:dyDescent="0.55000000000000004">
      <c r="B8" s="10" t="s">
        <v>23</v>
      </c>
      <c r="C8" s="9">
        <v>4.9039999999999999</v>
      </c>
      <c r="D8" s="8">
        <v>14.93</v>
      </c>
      <c r="E8" s="9">
        <v>14.276999999999999</v>
      </c>
      <c r="F8" s="8">
        <v>15.064</v>
      </c>
      <c r="G8" s="9">
        <v>13.115</v>
      </c>
      <c r="H8" s="8">
        <v>0</v>
      </c>
      <c r="I8" s="9">
        <v>4.899</v>
      </c>
      <c r="J8" s="8">
        <v>3.7519999999999998</v>
      </c>
      <c r="K8" s="9">
        <v>24.859000000000002</v>
      </c>
      <c r="L8" s="8">
        <v>23.154</v>
      </c>
      <c r="M8" s="9">
        <v>18.449000000000002</v>
      </c>
      <c r="N8" s="8">
        <v>20.602</v>
      </c>
      <c r="O8" s="9">
        <v>9.532</v>
      </c>
      <c r="P8" s="8">
        <v>25.963999999999999</v>
      </c>
      <c r="Q8" s="9">
        <v>38.287999999999997</v>
      </c>
      <c r="R8" s="8">
        <v>26.631</v>
      </c>
    </row>
    <row r="9" spans="2:18" ht="18" x14ac:dyDescent="0.55000000000000004">
      <c r="B9" s="10" t="s">
        <v>24</v>
      </c>
      <c r="C9" s="9">
        <v>11.587999999999999</v>
      </c>
      <c r="D9" s="8">
        <v>12.558999999999999</v>
      </c>
      <c r="E9" s="9">
        <v>11.906000000000001</v>
      </c>
      <c r="F9" s="8">
        <v>15.996</v>
      </c>
      <c r="G9" s="9">
        <v>6.9669999999999996</v>
      </c>
      <c r="H9" s="8">
        <v>11.726000000000001</v>
      </c>
      <c r="I9" s="9">
        <v>0</v>
      </c>
      <c r="J9" s="8">
        <v>12.151999999999999</v>
      </c>
      <c r="K9" s="9">
        <v>34.341999999999999</v>
      </c>
      <c r="L9" s="8">
        <v>34.1</v>
      </c>
      <c r="M9" s="9">
        <v>20.634</v>
      </c>
      <c r="N9" s="8">
        <v>22.786999999999999</v>
      </c>
      <c r="O9" s="9">
        <v>17.931999999999999</v>
      </c>
      <c r="P9" s="8">
        <v>23.593</v>
      </c>
      <c r="Q9" s="9">
        <v>35.917000000000002</v>
      </c>
      <c r="R9" s="8">
        <v>24.26</v>
      </c>
    </row>
    <row r="10" spans="2:18" ht="18" x14ac:dyDescent="0.55000000000000004">
      <c r="B10" s="10" t="s">
        <v>25</v>
      </c>
      <c r="C10" s="9">
        <v>5.984</v>
      </c>
      <c r="D10" s="8">
        <v>17.012</v>
      </c>
      <c r="E10" s="9">
        <v>11.945</v>
      </c>
      <c r="F10" s="8">
        <v>12.209</v>
      </c>
      <c r="G10" s="9">
        <v>14.816000000000001</v>
      </c>
      <c r="H10" s="8">
        <v>2.6419999999999999</v>
      </c>
      <c r="I10" s="9">
        <v>6.9809999999999999</v>
      </c>
      <c r="J10" s="8">
        <v>0</v>
      </c>
      <c r="K10" s="9">
        <v>22.004000000000001</v>
      </c>
      <c r="L10" s="8">
        <v>20.298999999999999</v>
      </c>
      <c r="M10" s="9">
        <v>15.593999999999999</v>
      </c>
      <c r="N10" s="8">
        <v>17.747</v>
      </c>
      <c r="O10" s="9">
        <v>6.6769999999999996</v>
      </c>
      <c r="P10" s="8">
        <v>28.045999999999999</v>
      </c>
      <c r="Q10" s="9">
        <v>40.369999999999997</v>
      </c>
      <c r="R10" s="8">
        <v>28.713000000000001</v>
      </c>
    </row>
    <row r="11" spans="2:18" ht="18" x14ac:dyDescent="0.55000000000000004">
      <c r="B11" s="10" t="s">
        <v>26</v>
      </c>
      <c r="C11" s="9">
        <v>27.515000000000001</v>
      </c>
      <c r="D11" s="8">
        <v>23.128</v>
      </c>
      <c r="E11" s="9">
        <v>17.428000000000001</v>
      </c>
      <c r="F11" s="8">
        <v>10.601000000000001</v>
      </c>
      <c r="G11" s="9">
        <v>21.129000000000001</v>
      </c>
      <c r="H11" s="8">
        <v>24.172999999999998</v>
      </c>
      <c r="I11" s="9">
        <v>28.512</v>
      </c>
      <c r="J11" s="8">
        <v>22.327999999999999</v>
      </c>
      <c r="K11" s="9">
        <v>0</v>
      </c>
      <c r="L11" s="8">
        <v>1.655</v>
      </c>
      <c r="M11" s="9">
        <v>6.9480000000000004</v>
      </c>
      <c r="N11" s="8">
        <v>5.7030000000000003</v>
      </c>
      <c r="O11" s="9">
        <v>16.495999999999999</v>
      </c>
      <c r="P11" s="8">
        <v>15.675000000000001</v>
      </c>
      <c r="Q11" s="9">
        <v>27.998999999999999</v>
      </c>
      <c r="R11" s="8">
        <v>8.8989999999999991</v>
      </c>
    </row>
    <row r="12" spans="2:18" ht="18" x14ac:dyDescent="0.55000000000000004">
      <c r="B12" s="10" t="s">
        <v>27</v>
      </c>
      <c r="C12" s="9">
        <v>26.530999999999999</v>
      </c>
      <c r="D12" s="8">
        <v>23.385000000000002</v>
      </c>
      <c r="E12" s="9">
        <v>16.443999999999999</v>
      </c>
      <c r="F12" s="8">
        <v>9.6170000000000009</v>
      </c>
      <c r="G12" s="9">
        <v>20.145</v>
      </c>
      <c r="H12" s="8">
        <v>23.189</v>
      </c>
      <c r="I12" s="9">
        <v>27.527999999999999</v>
      </c>
      <c r="J12" s="8">
        <v>21.344000000000001</v>
      </c>
      <c r="K12" s="9">
        <v>2.5059999999999998</v>
      </c>
      <c r="L12" s="8">
        <v>0</v>
      </c>
      <c r="M12" s="9">
        <v>5.9640000000000004</v>
      </c>
      <c r="N12" s="8">
        <v>4.7750000000000004</v>
      </c>
      <c r="O12" s="9">
        <v>15.512</v>
      </c>
      <c r="P12" s="8">
        <v>15.932</v>
      </c>
      <c r="Q12" s="9">
        <v>28.256</v>
      </c>
      <c r="R12" s="8">
        <v>7.9160000000000004</v>
      </c>
    </row>
    <row r="13" spans="2:18" ht="18" x14ac:dyDescent="0.55000000000000004">
      <c r="B13" s="10" t="s">
        <v>28</v>
      </c>
      <c r="C13" s="9">
        <v>22.529</v>
      </c>
      <c r="D13" s="8">
        <v>15.852</v>
      </c>
      <c r="E13" s="9">
        <v>12.442</v>
      </c>
      <c r="F13" s="8">
        <v>5.6150000000000002</v>
      </c>
      <c r="G13" s="9">
        <v>16.143000000000001</v>
      </c>
      <c r="H13" s="8">
        <v>19.187000000000001</v>
      </c>
      <c r="I13" s="9">
        <v>23.526</v>
      </c>
      <c r="J13" s="8">
        <v>17.341999999999999</v>
      </c>
      <c r="K13" s="9">
        <v>6.8550000000000004</v>
      </c>
      <c r="L13" s="8">
        <v>5.15</v>
      </c>
      <c r="M13" s="9">
        <v>0</v>
      </c>
      <c r="N13" s="8">
        <v>2.9329999999999998</v>
      </c>
      <c r="O13" s="9">
        <v>11.51</v>
      </c>
      <c r="P13" s="8">
        <v>11.819000000000001</v>
      </c>
      <c r="Q13" s="9">
        <v>24.143000000000001</v>
      </c>
      <c r="R13" s="8">
        <v>6.5650000000000004</v>
      </c>
    </row>
    <row r="14" spans="2:18" ht="18" x14ac:dyDescent="0.55000000000000004">
      <c r="B14" s="10" t="s">
        <v>29</v>
      </c>
      <c r="C14" s="9">
        <v>23.824999999999999</v>
      </c>
      <c r="D14" s="8">
        <v>15.708</v>
      </c>
      <c r="E14" s="9">
        <v>11.715999999999999</v>
      </c>
      <c r="F14" s="8">
        <v>6.202</v>
      </c>
      <c r="G14" s="9">
        <v>16.088999999999999</v>
      </c>
      <c r="H14" s="8">
        <v>20.483000000000001</v>
      </c>
      <c r="I14" s="9">
        <v>24.821999999999999</v>
      </c>
      <c r="J14" s="8">
        <v>18.638000000000002</v>
      </c>
      <c r="K14" s="9">
        <v>7.0540000000000003</v>
      </c>
      <c r="L14" s="8">
        <v>4.4710000000000001</v>
      </c>
      <c r="M14" s="9">
        <v>3.258</v>
      </c>
      <c r="N14" s="8">
        <v>0</v>
      </c>
      <c r="O14" s="9">
        <v>12.805999999999999</v>
      </c>
      <c r="P14" s="8">
        <v>10.144</v>
      </c>
      <c r="Q14" s="9">
        <v>22.468</v>
      </c>
      <c r="R14" s="8">
        <v>4.8899999999999997</v>
      </c>
    </row>
    <row r="15" spans="2:18" ht="18" x14ac:dyDescent="0.55000000000000004">
      <c r="B15" s="10" t="s">
        <v>30</v>
      </c>
      <c r="C15" s="9">
        <v>12.617000000000001</v>
      </c>
      <c r="D15" s="8">
        <v>21.489000000000001</v>
      </c>
      <c r="E15" s="9">
        <v>9.2520000000000007</v>
      </c>
      <c r="F15" s="8">
        <v>8.7929999999999993</v>
      </c>
      <c r="G15" s="9">
        <v>12.122999999999999</v>
      </c>
      <c r="H15" s="8">
        <v>9.2750000000000004</v>
      </c>
      <c r="I15" s="9">
        <v>13.614000000000001</v>
      </c>
      <c r="J15" s="8">
        <v>7.43</v>
      </c>
      <c r="K15" s="9">
        <v>15.348000000000001</v>
      </c>
      <c r="L15" s="8">
        <v>13.643000000000001</v>
      </c>
      <c r="M15" s="9">
        <v>8.9380000000000006</v>
      </c>
      <c r="N15" s="8">
        <v>11.090999999999999</v>
      </c>
      <c r="O15" s="9">
        <v>0</v>
      </c>
      <c r="P15" s="8">
        <v>19.556999999999999</v>
      </c>
      <c r="Q15" s="9">
        <v>31.881</v>
      </c>
      <c r="R15" s="8">
        <v>14.723000000000001</v>
      </c>
    </row>
    <row r="16" spans="2:18" ht="18" x14ac:dyDescent="0.55000000000000004">
      <c r="B16" s="10" t="s">
        <v>31</v>
      </c>
      <c r="C16" s="9">
        <v>38.942</v>
      </c>
      <c r="D16" s="8">
        <v>21.722999999999999</v>
      </c>
      <c r="E16" s="9">
        <v>25.376000000000001</v>
      </c>
      <c r="F16" s="8">
        <v>24.667000000000002</v>
      </c>
      <c r="G16" s="9">
        <v>30.701000000000001</v>
      </c>
      <c r="H16" s="8">
        <v>37.304000000000002</v>
      </c>
      <c r="I16" s="9">
        <v>33.231000000000002</v>
      </c>
      <c r="J16" s="8">
        <v>37.729999999999997</v>
      </c>
      <c r="K16" s="9">
        <v>23.184999999999999</v>
      </c>
      <c r="L16" s="8">
        <v>22.943000000000001</v>
      </c>
      <c r="M16" s="9">
        <v>21.95</v>
      </c>
      <c r="N16" s="8">
        <v>17.138000000000002</v>
      </c>
      <c r="O16" s="9">
        <v>30.620999999999999</v>
      </c>
      <c r="P16" s="8">
        <v>0</v>
      </c>
      <c r="Q16" s="9">
        <v>12.411</v>
      </c>
      <c r="R16" s="8">
        <v>12.831</v>
      </c>
    </row>
    <row r="17" spans="1:18" ht="18" x14ac:dyDescent="0.55000000000000004">
      <c r="B17" s="10" t="s">
        <v>32</v>
      </c>
      <c r="C17" s="9">
        <v>44.203000000000003</v>
      </c>
      <c r="D17" s="8">
        <v>26.984000000000002</v>
      </c>
      <c r="E17" s="9">
        <v>30.637</v>
      </c>
      <c r="F17" s="8">
        <v>29.928000000000001</v>
      </c>
      <c r="G17" s="9">
        <v>35.962000000000003</v>
      </c>
      <c r="H17" s="8">
        <v>42.564999999999998</v>
      </c>
      <c r="I17" s="9">
        <v>38.491999999999997</v>
      </c>
      <c r="J17" s="8">
        <v>42.991</v>
      </c>
      <c r="K17" s="9">
        <v>28.446000000000002</v>
      </c>
      <c r="L17" s="8">
        <v>28.204000000000001</v>
      </c>
      <c r="M17" s="9">
        <v>27.210999999999999</v>
      </c>
      <c r="N17" s="8">
        <v>22.399000000000001</v>
      </c>
      <c r="O17" s="9">
        <v>35.881999999999998</v>
      </c>
      <c r="P17" s="8">
        <v>19.530999999999999</v>
      </c>
      <c r="Q17" s="9">
        <v>0</v>
      </c>
      <c r="R17" s="8">
        <v>18.091999999999999</v>
      </c>
    </row>
    <row r="18" spans="1:18" ht="18" x14ac:dyDescent="0.55000000000000004">
      <c r="B18" s="10" t="s">
        <v>33</v>
      </c>
      <c r="C18" s="9">
        <v>30.065999999999999</v>
      </c>
      <c r="D18" s="8">
        <v>12.847</v>
      </c>
      <c r="E18" s="9">
        <v>14.999000000000001</v>
      </c>
      <c r="F18" s="8">
        <v>11.882</v>
      </c>
      <c r="G18" s="9">
        <v>21.824999999999999</v>
      </c>
      <c r="H18" s="8">
        <v>28.428000000000001</v>
      </c>
      <c r="I18" s="9">
        <v>24.355</v>
      </c>
      <c r="J18" s="8">
        <v>28.853999999999999</v>
      </c>
      <c r="K18" s="9">
        <v>16.709</v>
      </c>
      <c r="L18" s="8">
        <v>16.466999999999999</v>
      </c>
      <c r="M18" s="9">
        <v>7.6790000000000003</v>
      </c>
      <c r="N18" s="8">
        <v>4.9059999999999997</v>
      </c>
      <c r="O18" s="9">
        <v>16.992000000000001</v>
      </c>
      <c r="P18" s="8">
        <v>5.2530000000000001</v>
      </c>
      <c r="Q18" s="9">
        <v>17.577000000000002</v>
      </c>
      <c r="R18" s="11">
        <v>0</v>
      </c>
    </row>
    <row r="19" spans="1:18" ht="18" x14ac:dyDescent="0.55000000000000004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8" x14ac:dyDescent="0.55000000000000004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8" x14ac:dyDescent="0.55000000000000004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8" x14ac:dyDescent="0.55000000000000004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8" x14ac:dyDescent="0.55000000000000004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54" x14ac:dyDescent="0.55000000000000004">
      <c r="B24" s="5" t="s">
        <v>34</v>
      </c>
      <c r="C24" s="5" t="s">
        <v>19</v>
      </c>
      <c r="D24" s="5" t="s">
        <v>20</v>
      </c>
      <c r="E24" s="5" t="s">
        <v>21</v>
      </c>
      <c r="F24" s="5" t="s">
        <v>22</v>
      </c>
      <c r="G24" s="5" t="s">
        <v>23</v>
      </c>
      <c r="H24" s="5" t="s">
        <v>24</v>
      </c>
      <c r="I24" s="5" t="s">
        <v>25</v>
      </c>
      <c r="J24" s="5" t="s">
        <v>26</v>
      </c>
      <c r="K24" s="5" t="s">
        <v>27</v>
      </c>
      <c r="L24" s="5" t="s">
        <v>28</v>
      </c>
      <c r="M24" s="5" t="s">
        <v>29</v>
      </c>
      <c r="N24" s="5" t="s">
        <v>30</v>
      </c>
      <c r="O24" s="5" t="s">
        <v>31</v>
      </c>
      <c r="P24" s="5" t="s">
        <v>32</v>
      </c>
      <c r="Q24" s="5" t="s">
        <v>33</v>
      </c>
      <c r="R24" s="4"/>
    </row>
    <row r="25" spans="1:18" ht="18" x14ac:dyDescent="0.55000000000000004">
      <c r="A25" s="6">
        <v>1</v>
      </c>
      <c r="B25" s="17" t="s">
        <v>19</v>
      </c>
      <c r="C25" s="12">
        <v>0</v>
      </c>
      <c r="D25" s="12">
        <v>1</v>
      </c>
      <c r="E25" s="12">
        <v>1</v>
      </c>
      <c r="F25" s="12">
        <v>1</v>
      </c>
      <c r="G25" s="12">
        <v>1</v>
      </c>
      <c r="H25" s="12">
        <v>1</v>
      </c>
      <c r="I25" s="12">
        <v>0</v>
      </c>
      <c r="J25" s="12">
        <v>2</v>
      </c>
      <c r="K25" s="12">
        <v>1</v>
      </c>
      <c r="L25" s="12">
        <v>3</v>
      </c>
      <c r="M25" s="12">
        <v>0</v>
      </c>
      <c r="N25" s="12">
        <v>1</v>
      </c>
      <c r="O25" s="12">
        <v>3</v>
      </c>
      <c r="P25" s="12">
        <v>0</v>
      </c>
      <c r="Q25" s="12">
        <v>0</v>
      </c>
      <c r="R25" s="13">
        <f>SUM(C25:Q25)</f>
        <v>15</v>
      </c>
    </row>
    <row r="26" spans="1:18" ht="18" x14ac:dyDescent="0.55000000000000004">
      <c r="A26" s="6">
        <v>2</v>
      </c>
      <c r="B26" s="17" t="s">
        <v>20</v>
      </c>
      <c r="C26" s="12">
        <v>0</v>
      </c>
      <c r="D26" s="12">
        <v>0</v>
      </c>
      <c r="E26" s="12">
        <v>3</v>
      </c>
      <c r="F26" s="12">
        <v>1</v>
      </c>
      <c r="G26" s="12">
        <v>3</v>
      </c>
      <c r="H26" s="12">
        <v>0</v>
      </c>
      <c r="I26" s="12">
        <v>0</v>
      </c>
      <c r="J26" s="12">
        <v>3</v>
      </c>
      <c r="K26" s="12">
        <v>2</v>
      </c>
      <c r="L26" s="12">
        <v>0</v>
      </c>
      <c r="M26" s="12">
        <v>2</v>
      </c>
      <c r="N26" s="12">
        <v>0</v>
      </c>
      <c r="O26" s="12">
        <v>2</v>
      </c>
      <c r="P26" s="12">
        <v>0</v>
      </c>
      <c r="Q26" s="12">
        <v>2</v>
      </c>
      <c r="R26" s="13">
        <f t="shared" ref="R26:R39" si="0">SUM(C26:Q26)</f>
        <v>18</v>
      </c>
    </row>
    <row r="27" spans="1:18" ht="18" x14ac:dyDescent="0.55000000000000004">
      <c r="A27" s="6">
        <v>3</v>
      </c>
      <c r="B27" s="17" t="s">
        <v>21</v>
      </c>
      <c r="C27" s="12">
        <v>0</v>
      </c>
      <c r="D27" s="12">
        <v>0</v>
      </c>
      <c r="E27" s="12">
        <v>0</v>
      </c>
      <c r="F27" s="12">
        <v>2</v>
      </c>
      <c r="G27" s="12">
        <v>2</v>
      </c>
      <c r="H27" s="12">
        <v>1</v>
      </c>
      <c r="I27" s="12">
        <v>1</v>
      </c>
      <c r="J27" s="12">
        <v>2</v>
      </c>
      <c r="K27" s="12">
        <v>0</v>
      </c>
      <c r="L27" s="12">
        <v>1</v>
      </c>
      <c r="M27" s="12">
        <v>2</v>
      </c>
      <c r="N27" s="12">
        <v>0</v>
      </c>
      <c r="O27" s="12">
        <v>1</v>
      </c>
      <c r="P27" s="12">
        <v>0</v>
      </c>
      <c r="Q27" s="12">
        <v>0</v>
      </c>
      <c r="R27" s="13">
        <f t="shared" si="0"/>
        <v>12</v>
      </c>
    </row>
    <row r="28" spans="1:18" ht="18" x14ac:dyDescent="0.55000000000000004">
      <c r="A28" s="6">
        <v>4</v>
      </c>
      <c r="B28" s="17" t="s">
        <v>22</v>
      </c>
      <c r="C28" s="12">
        <v>2</v>
      </c>
      <c r="D28" s="12">
        <v>1</v>
      </c>
      <c r="E28" s="12">
        <v>1</v>
      </c>
      <c r="F28" s="12">
        <v>0</v>
      </c>
      <c r="G28" s="12">
        <v>2</v>
      </c>
      <c r="H28" s="12">
        <v>2</v>
      </c>
      <c r="I28" s="12">
        <v>2</v>
      </c>
      <c r="J28" s="12">
        <v>3</v>
      </c>
      <c r="K28" s="12">
        <v>2</v>
      </c>
      <c r="L28" s="12">
        <v>1</v>
      </c>
      <c r="M28" s="12">
        <v>1</v>
      </c>
      <c r="N28" s="12">
        <v>2</v>
      </c>
      <c r="O28" s="12">
        <v>1</v>
      </c>
      <c r="P28" s="12">
        <v>1</v>
      </c>
      <c r="Q28" s="12">
        <v>1</v>
      </c>
      <c r="R28" s="13">
        <f t="shared" si="0"/>
        <v>22</v>
      </c>
    </row>
    <row r="29" spans="1:18" ht="18" x14ac:dyDescent="0.55000000000000004">
      <c r="A29" s="6">
        <v>5</v>
      </c>
      <c r="B29" s="17" t="s">
        <v>23</v>
      </c>
      <c r="C29" s="12">
        <v>0</v>
      </c>
      <c r="D29" s="12">
        <v>1</v>
      </c>
      <c r="E29" s="12">
        <v>1</v>
      </c>
      <c r="F29" s="12">
        <v>2</v>
      </c>
      <c r="G29" s="12">
        <v>0</v>
      </c>
      <c r="H29" s="12">
        <v>1</v>
      </c>
      <c r="I29" s="12">
        <v>2</v>
      </c>
      <c r="J29" s="12">
        <v>0</v>
      </c>
      <c r="K29" s="12">
        <v>2</v>
      </c>
      <c r="L29" s="12">
        <v>3</v>
      </c>
      <c r="M29" s="12">
        <v>2</v>
      </c>
      <c r="N29" s="12">
        <v>0</v>
      </c>
      <c r="O29" s="12">
        <v>0</v>
      </c>
      <c r="P29" s="12">
        <v>0</v>
      </c>
      <c r="Q29" s="12">
        <v>0</v>
      </c>
      <c r="R29" s="13">
        <f t="shared" si="0"/>
        <v>14</v>
      </c>
    </row>
    <row r="30" spans="1:18" ht="18" x14ac:dyDescent="0.55000000000000004">
      <c r="A30" s="6">
        <v>6</v>
      </c>
      <c r="B30" s="17" t="s">
        <v>24</v>
      </c>
      <c r="C30" s="12">
        <v>0</v>
      </c>
      <c r="D30" s="12">
        <v>2</v>
      </c>
      <c r="E30" s="12">
        <v>3</v>
      </c>
      <c r="F30" s="12">
        <v>0</v>
      </c>
      <c r="G30" s="12">
        <v>2</v>
      </c>
      <c r="H30" s="12">
        <v>0</v>
      </c>
      <c r="I30" s="12">
        <v>1</v>
      </c>
      <c r="J30" s="12">
        <v>0</v>
      </c>
      <c r="K30" s="12">
        <v>2</v>
      </c>
      <c r="L30" s="12">
        <v>0</v>
      </c>
      <c r="M30" s="12">
        <v>2</v>
      </c>
      <c r="N30" s="12">
        <v>1</v>
      </c>
      <c r="O30" s="12">
        <v>1</v>
      </c>
      <c r="P30" s="12">
        <v>1</v>
      </c>
      <c r="Q30" s="12">
        <v>2</v>
      </c>
      <c r="R30" s="13">
        <f t="shared" si="0"/>
        <v>17</v>
      </c>
    </row>
    <row r="31" spans="1:18" ht="18" x14ac:dyDescent="0.55000000000000004">
      <c r="A31" s="6">
        <v>7</v>
      </c>
      <c r="B31" s="17" t="s">
        <v>25</v>
      </c>
      <c r="C31" s="12">
        <v>2</v>
      </c>
      <c r="D31" s="12">
        <v>1</v>
      </c>
      <c r="E31" s="12">
        <v>2</v>
      </c>
      <c r="F31" s="12">
        <v>1</v>
      </c>
      <c r="G31" s="12">
        <v>1</v>
      </c>
      <c r="H31" s="12">
        <v>0</v>
      </c>
      <c r="I31" s="12">
        <v>0</v>
      </c>
      <c r="J31" s="12">
        <v>0</v>
      </c>
      <c r="K31" s="12">
        <v>2</v>
      </c>
      <c r="L31" s="12">
        <v>0</v>
      </c>
      <c r="M31" s="12">
        <v>3</v>
      </c>
      <c r="N31" s="12">
        <v>2</v>
      </c>
      <c r="O31" s="12">
        <v>1</v>
      </c>
      <c r="P31" s="12">
        <v>2</v>
      </c>
      <c r="Q31" s="12">
        <v>0</v>
      </c>
      <c r="R31" s="13">
        <f t="shared" si="0"/>
        <v>17</v>
      </c>
    </row>
    <row r="32" spans="1:18" ht="18" x14ac:dyDescent="0.55000000000000004">
      <c r="A32" s="6">
        <v>8</v>
      </c>
      <c r="B32" s="17" t="s">
        <v>26</v>
      </c>
      <c r="C32" s="12">
        <v>2</v>
      </c>
      <c r="D32" s="12">
        <v>1</v>
      </c>
      <c r="E32" s="12">
        <v>0</v>
      </c>
      <c r="F32" s="12">
        <v>0</v>
      </c>
      <c r="G32" s="12">
        <v>2</v>
      </c>
      <c r="H32" s="12">
        <v>2</v>
      </c>
      <c r="I32" s="12">
        <v>2</v>
      </c>
      <c r="J32" s="12">
        <v>0</v>
      </c>
      <c r="K32" s="12">
        <v>2</v>
      </c>
      <c r="L32" s="12">
        <v>0</v>
      </c>
      <c r="M32" s="12">
        <v>0</v>
      </c>
      <c r="N32" s="12">
        <v>0</v>
      </c>
      <c r="O32" s="12">
        <v>2</v>
      </c>
      <c r="P32" s="12">
        <v>1</v>
      </c>
      <c r="Q32" s="12">
        <v>2</v>
      </c>
      <c r="R32" s="13">
        <f t="shared" si="0"/>
        <v>16</v>
      </c>
    </row>
    <row r="33" spans="1:18" ht="18" x14ac:dyDescent="0.55000000000000004">
      <c r="A33" s="6">
        <v>9</v>
      </c>
      <c r="B33" s="17" t="s">
        <v>27</v>
      </c>
      <c r="C33" s="12">
        <v>2</v>
      </c>
      <c r="D33" s="12">
        <v>1</v>
      </c>
      <c r="E33" s="12">
        <v>0</v>
      </c>
      <c r="F33" s="12">
        <v>1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2</v>
      </c>
      <c r="M33" s="12">
        <v>1</v>
      </c>
      <c r="N33" s="12">
        <v>2</v>
      </c>
      <c r="O33" s="12">
        <v>1</v>
      </c>
      <c r="P33" s="12">
        <v>0</v>
      </c>
      <c r="Q33" s="12">
        <v>2</v>
      </c>
      <c r="R33" s="13">
        <f t="shared" si="0"/>
        <v>12</v>
      </c>
    </row>
    <row r="34" spans="1:18" ht="18" x14ac:dyDescent="0.55000000000000004">
      <c r="A34" s="6">
        <v>10</v>
      </c>
      <c r="B34" s="17" t="s">
        <v>28</v>
      </c>
      <c r="C34" s="12">
        <v>2</v>
      </c>
      <c r="D34" s="12">
        <v>3</v>
      </c>
      <c r="E34" s="12">
        <v>0</v>
      </c>
      <c r="F34" s="12">
        <v>1</v>
      </c>
      <c r="G34" s="12">
        <v>2</v>
      </c>
      <c r="H34" s="12">
        <v>1</v>
      </c>
      <c r="I34" s="12">
        <v>2</v>
      </c>
      <c r="J34" s="12">
        <v>1</v>
      </c>
      <c r="K34" s="12">
        <v>2</v>
      </c>
      <c r="L34" s="12">
        <v>0</v>
      </c>
      <c r="M34" s="12">
        <v>0</v>
      </c>
      <c r="N34" s="12">
        <v>1</v>
      </c>
      <c r="O34" s="12">
        <v>3</v>
      </c>
      <c r="P34" s="12">
        <v>1</v>
      </c>
      <c r="Q34" s="12">
        <v>0</v>
      </c>
      <c r="R34" s="13">
        <f t="shared" si="0"/>
        <v>19</v>
      </c>
    </row>
    <row r="35" spans="1:18" ht="18" x14ac:dyDescent="0.55000000000000004">
      <c r="A35" s="6">
        <v>11</v>
      </c>
      <c r="B35" s="17" t="s">
        <v>29</v>
      </c>
      <c r="C35" s="12">
        <v>3</v>
      </c>
      <c r="D35" s="12">
        <v>1</v>
      </c>
      <c r="E35" s="12">
        <v>0</v>
      </c>
      <c r="F35" s="12">
        <v>0</v>
      </c>
      <c r="G35" s="12">
        <v>1</v>
      </c>
      <c r="H35" s="12">
        <v>0</v>
      </c>
      <c r="I35" s="12">
        <v>1</v>
      </c>
      <c r="J35" s="12">
        <v>2</v>
      </c>
      <c r="K35" s="12">
        <v>1</v>
      </c>
      <c r="L35" s="12">
        <v>2</v>
      </c>
      <c r="M35" s="12">
        <v>0</v>
      </c>
      <c r="N35" s="12">
        <v>0</v>
      </c>
      <c r="O35" s="12">
        <v>2</v>
      </c>
      <c r="P35" s="12">
        <v>0</v>
      </c>
      <c r="Q35" s="12">
        <v>1</v>
      </c>
      <c r="R35" s="13">
        <f t="shared" si="0"/>
        <v>14</v>
      </c>
    </row>
    <row r="36" spans="1:18" ht="18" x14ac:dyDescent="0.55000000000000004">
      <c r="A36" s="6">
        <v>12</v>
      </c>
      <c r="B36" s="17" t="s">
        <v>30</v>
      </c>
      <c r="C36" s="12">
        <v>2</v>
      </c>
      <c r="D36" s="12">
        <v>2</v>
      </c>
      <c r="E36" s="12">
        <v>0</v>
      </c>
      <c r="F36" s="12">
        <v>1</v>
      </c>
      <c r="G36" s="12">
        <v>1</v>
      </c>
      <c r="H36" s="12">
        <v>1</v>
      </c>
      <c r="I36" s="12">
        <v>1</v>
      </c>
      <c r="J36" s="12">
        <v>0</v>
      </c>
      <c r="K36" s="12">
        <v>2</v>
      </c>
      <c r="L36" s="12">
        <v>0</v>
      </c>
      <c r="M36" s="12">
        <v>0</v>
      </c>
      <c r="N36" s="12">
        <v>0</v>
      </c>
      <c r="O36" s="12">
        <v>1</v>
      </c>
      <c r="P36" s="12">
        <v>1</v>
      </c>
      <c r="Q36" s="12">
        <v>0</v>
      </c>
      <c r="R36" s="13">
        <f t="shared" si="0"/>
        <v>12</v>
      </c>
    </row>
    <row r="37" spans="1:18" ht="18" x14ac:dyDescent="0.55000000000000004">
      <c r="A37" s="6">
        <v>13</v>
      </c>
      <c r="B37" s="17" t="s">
        <v>31</v>
      </c>
      <c r="C37" s="12">
        <v>3</v>
      </c>
      <c r="D37" s="12">
        <v>2</v>
      </c>
      <c r="E37" s="12">
        <v>2</v>
      </c>
      <c r="F37" s="12">
        <v>0</v>
      </c>
      <c r="G37" s="12">
        <v>3</v>
      </c>
      <c r="H37" s="12">
        <v>0</v>
      </c>
      <c r="I37" s="12">
        <v>1</v>
      </c>
      <c r="J37" s="12">
        <v>1</v>
      </c>
      <c r="K37" s="12">
        <v>3</v>
      </c>
      <c r="L37" s="12">
        <v>0</v>
      </c>
      <c r="M37" s="12">
        <v>2</v>
      </c>
      <c r="N37" s="12">
        <v>0</v>
      </c>
      <c r="O37" s="12">
        <v>0</v>
      </c>
      <c r="P37" s="12">
        <v>1</v>
      </c>
      <c r="Q37" s="12">
        <v>2</v>
      </c>
      <c r="R37" s="13">
        <f t="shared" si="0"/>
        <v>20</v>
      </c>
    </row>
    <row r="38" spans="1:18" ht="18" x14ac:dyDescent="0.55000000000000004">
      <c r="A38" s="6">
        <v>14</v>
      </c>
      <c r="B38" s="17" t="s">
        <v>32</v>
      </c>
      <c r="C38" s="12">
        <v>1</v>
      </c>
      <c r="D38" s="12">
        <v>2</v>
      </c>
      <c r="E38" s="12">
        <v>1</v>
      </c>
      <c r="F38" s="12">
        <v>2</v>
      </c>
      <c r="G38" s="12">
        <v>1</v>
      </c>
      <c r="H38" s="12">
        <v>0</v>
      </c>
      <c r="I38" s="12">
        <v>3</v>
      </c>
      <c r="J38" s="12">
        <v>0</v>
      </c>
      <c r="K38" s="12">
        <v>2</v>
      </c>
      <c r="L38" s="12">
        <v>1</v>
      </c>
      <c r="M38" s="12">
        <v>2</v>
      </c>
      <c r="N38" s="12">
        <v>1</v>
      </c>
      <c r="O38" s="12">
        <v>0</v>
      </c>
      <c r="P38" s="12">
        <v>0</v>
      </c>
      <c r="Q38" s="12">
        <v>3</v>
      </c>
      <c r="R38" s="13">
        <f t="shared" si="0"/>
        <v>19</v>
      </c>
    </row>
    <row r="39" spans="1:18" ht="18" x14ac:dyDescent="0.55000000000000004">
      <c r="A39" s="6">
        <v>15</v>
      </c>
      <c r="B39" s="17" t="s">
        <v>33</v>
      </c>
      <c r="C39" s="12">
        <v>2</v>
      </c>
      <c r="D39" s="12">
        <v>2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2</v>
      </c>
      <c r="K39" s="12">
        <v>2</v>
      </c>
      <c r="L39" s="12">
        <v>1</v>
      </c>
      <c r="M39" s="12">
        <v>1</v>
      </c>
      <c r="N39" s="12">
        <v>2</v>
      </c>
      <c r="O39" s="12">
        <v>2</v>
      </c>
      <c r="P39" s="12">
        <v>1</v>
      </c>
      <c r="Q39" s="12">
        <v>0</v>
      </c>
      <c r="R39" s="13">
        <f t="shared" si="0"/>
        <v>15</v>
      </c>
    </row>
    <row r="40" spans="1:18" ht="18" x14ac:dyDescent="0.55000000000000004">
      <c r="A40" s="4"/>
      <c r="B40" s="4"/>
      <c r="C40" s="41">
        <f>SUM(C25:C39)</f>
        <v>21</v>
      </c>
      <c r="D40" s="41">
        <f t="shared" ref="D40:Q40" si="1">SUM(D25:D39)</f>
        <v>20</v>
      </c>
      <c r="E40" s="41">
        <f t="shared" si="1"/>
        <v>14</v>
      </c>
      <c r="F40" s="41">
        <f t="shared" si="1"/>
        <v>12</v>
      </c>
      <c r="G40" s="41">
        <f t="shared" si="1"/>
        <v>21</v>
      </c>
      <c r="H40" s="41">
        <f t="shared" si="1"/>
        <v>9</v>
      </c>
      <c r="I40" s="41">
        <f t="shared" si="1"/>
        <v>16</v>
      </c>
      <c r="J40" s="41">
        <f t="shared" si="1"/>
        <v>16</v>
      </c>
      <c r="K40" s="41">
        <f t="shared" si="1"/>
        <v>25</v>
      </c>
      <c r="L40" s="41">
        <f t="shared" si="1"/>
        <v>14</v>
      </c>
      <c r="M40" s="41">
        <f t="shared" si="1"/>
        <v>18</v>
      </c>
      <c r="N40" s="41">
        <f t="shared" si="1"/>
        <v>12</v>
      </c>
      <c r="O40" s="41">
        <f t="shared" si="1"/>
        <v>20</v>
      </c>
      <c r="P40" s="41">
        <f t="shared" si="1"/>
        <v>9</v>
      </c>
      <c r="Q40" s="41">
        <f t="shared" si="1"/>
        <v>15</v>
      </c>
      <c r="R40" s="4"/>
    </row>
    <row r="41" spans="1:18" ht="18" x14ac:dyDescent="0.55000000000000004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8" x14ac:dyDescent="0.55000000000000004">
      <c r="B42" s="36" t="s">
        <v>34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8" x14ac:dyDescent="0.55000000000000004">
      <c r="A43" s="34">
        <v>1</v>
      </c>
      <c r="B43" s="35" t="s">
        <v>19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18" x14ac:dyDescent="0.55000000000000004">
      <c r="A44" s="34">
        <v>2</v>
      </c>
      <c r="B44" s="35" t="s">
        <v>20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8" x14ac:dyDescent="0.55000000000000004">
      <c r="A45" s="34">
        <v>3</v>
      </c>
      <c r="B45" s="35" t="s">
        <v>21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18" x14ac:dyDescent="0.55000000000000004">
      <c r="A46" s="34">
        <v>4</v>
      </c>
      <c r="B46" s="35" t="s">
        <v>22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8" x14ac:dyDescent="0.55000000000000004">
      <c r="A47" s="34">
        <v>5</v>
      </c>
      <c r="B47" s="35" t="s">
        <v>23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18" x14ac:dyDescent="0.55000000000000004">
      <c r="A48" s="34">
        <v>6</v>
      </c>
      <c r="B48" s="35" t="s">
        <v>24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8" x14ac:dyDescent="0.55000000000000004">
      <c r="A49" s="34">
        <v>7</v>
      </c>
      <c r="B49" s="35" t="s">
        <v>25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8" x14ac:dyDescent="0.55000000000000004">
      <c r="A50" s="34">
        <v>8</v>
      </c>
      <c r="B50" s="35" t="s">
        <v>26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8" x14ac:dyDescent="0.55000000000000004">
      <c r="A51" s="34">
        <v>9</v>
      </c>
      <c r="B51" s="35" t="s">
        <v>27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8" x14ac:dyDescent="0.55000000000000004">
      <c r="A52" s="34">
        <v>10</v>
      </c>
      <c r="B52" s="35" t="s">
        <v>28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8" x14ac:dyDescent="0.55000000000000004">
      <c r="A53" s="34">
        <v>11</v>
      </c>
      <c r="B53" s="35" t="s">
        <v>29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8" x14ac:dyDescent="0.55000000000000004">
      <c r="A54" s="34">
        <v>12</v>
      </c>
      <c r="B54" s="35" t="s">
        <v>30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8" x14ac:dyDescent="0.55000000000000004">
      <c r="A55" s="34">
        <v>13</v>
      </c>
      <c r="B55" s="35" t="s">
        <v>31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8" x14ac:dyDescent="0.55000000000000004">
      <c r="A56" s="34">
        <v>14</v>
      </c>
      <c r="B56" s="35" t="s">
        <v>32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8" x14ac:dyDescent="0.55000000000000004">
      <c r="A57" s="34">
        <v>15</v>
      </c>
      <c r="B57" s="35" t="s">
        <v>33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8" x14ac:dyDescent="0.55000000000000004">
      <c r="C5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4E8D-9FE0-4B40-BE07-E79DCCDB7AB0}">
  <dimension ref="A1:AI56"/>
  <sheetViews>
    <sheetView zoomScale="96" zoomScaleNormal="200" workbookViewId="0">
      <selection activeCell="A24" sqref="A24:B27"/>
    </sheetView>
  </sheetViews>
  <sheetFormatPr baseColWidth="10" defaultRowHeight="14.25" x14ac:dyDescent="0.45"/>
  <cols>
    <col min="1" max="1" width="8.9296875" customWidth="1"/>
    <col min="2" max="16" width="3.9296875" bestFit="1" customWidth="1"/>
    <col min="17" max="17" width="6.9296875" customWidth="1"/>
    <col min="18" max="18" width="6.73046875" bestFit="1" customWidth="1"/>
    <col min="19" max="19" width="2.73046875" bestFit="1" customWidth="1"/>
    <col min="20" max="29" width="1.73046875" bestFit="1" customWidth="1"/>
    <col min="30" max="35" width="2.73046875" bestFit="1" customWidth="1"/>
  </cols>
  <sheetData>
    <row r="1" spans="1:35" x14ac:dyDescent="0.45">
      <c r="A1" s="33"/>
      <c r="B1" s="31">
        <v>0</v>
      </c>
      <c r="C1" s="31">
        <v>1</v>
      </c>
      <c r="D1" s="31">
        <v>2</v>
      </c>
      <c r="E1" s="31">
        <v>3</v>
      </c>
      <c r="F1" s="31">
        <v>4</v>
      </c>
      <c r="G1" s="31">
        <v>5</v>
      </c>
      <c r="H1" s="31">
        <v>6</v>
      </c>
      <c r="I1" s="31">
        <v>7</v>
      </c>
      <c r="J1" s="31">
        <v>8</v>
      </c>
      <c r="K1" s="31">
        <v>9</v>
      </c>
      <c r="L1" s="31">
        <v>10</v>
      </c>
      <c r="M1" s="31">
        <v>11</v>
      </c>
      <c r="N1" s="31">
        <v>12</v>
      </c>
      <c r="O1" s="31">
        <v>13</v>
      </c>
      <c r="P1" s="31">
        <v>14</v>
      </c>
      <c r="Q1" s="31">
        <v>15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  <c r="AD1" s="18" t="s">
        <v>47</v>
      </c>
      <c r="AE1" s="18" t="s">
        <v>48</v>
      </c>
      <c r="AF1" s="18" t="s">
        <v>49</v>
      </c>
      <c r="AG1" s="18" t="s">
        <v>50</v>
      </c>
      <c r="AH1" s="18" t="s">
        <v>51</v>
      </c>
      <c r="AI1" s="18" t="s">
        <v>52</v>
      </c>
    </row>
    <row r="2" spans="1:35" ht="15.75" x14ac:dyDescent="0.5">
      <c r="A2" s="31">
        <v>0</v>
      </c>
      <c r="B2" s="32">
        <v>0</v>
      </c>
      <c r="C2" s="32">
        <v>23.143999999999998</v>
      </c>
      <c r="D2" s="32">
        <v>22.491</v>
      </c>
      <c r="E2" s="32">
        <v>22.021000000000001</v>
      </c>
      <c r="F2" s="32">
        <v>21.329000000000001</v>
      </c>
      <c r="G2" s="32">
        <v>8.7739999999999991</v>
      </c>
      <c r="H2" s="32">
        <v>13.113</v>
      </c>
      <c r="I2" s="32">
        <v>10.709</v>
      </c>
      <c r="J2" s="32">
        <v>31.815999999999999</v>
      </c>
      <c r="K2" s="32">
        <v>30.111000000000001</v>
      </c>
      <c r="L2" s="32">
        <v>25.405999999999999</v>
      </c>
      <c r="M2" s="32">
        <v>27.559000000000001</v>
      </c>
      <c r="N2" s="32">
        <v>16.489000000000001</v>
      </c>
      <c r="O2" s="32">
        <v>34.177999999999997</v>
      </c>
      <c r="P2" s="32">
        <v>46.502000000000002</v>
      </c>
      <c r="Q2" s="32">
        <v>34.844999999999999</v>
      </c>
      <c r="S2" s="18" t="s">
        <v>37</v>
      </c>
      <c r="Y2">
        <v>1</v>
      </c>
    </row>
    <row r="3" spans="1:35" ht="15.75" x14ac:dyDescent="0.5">
      <c r="A3" s="31">
        <v>1</v>
      </c>
      <c r="B3" s="32">
        <v>21.702999999999999</v>
      </c>
      <c r="C3" s="32">
        <v>0</v>
      </c>
      <c r="D3" s="32">
        <v>5.9710000000000001</v>
      </c>
      <c r="E3" s="32">
        <v>9.2319999999999993</v>
      </c>
      <c r="F3" s="32">
        <v>13.462</v>
      </c>
      <c r="G3" s="32">
        <v>20.065000000000001</v>
      </c>
      <c r="H3" s="32">
        <v>15.992000000000001</v>
      </c>
      <c r="I3" s="32">
        <v>20.491</v>
      </c>
      <c r="J3" s="32">
        <v>23.751999999999999</v>
      </c>
      <c r="K3" s="32">
        <v>23.51</v>
      </c>
      <c r="L3" s="32">
        <v>12.635999999999999</v>
      </c>
      <c r="M3" s="32">
        <v>11.862</v>
      </c>
      <c r="N3" s="32">
        <v>10.715</v>
      </c>
      <c r="O3" s="32">
        <v>12.714</v>
      </c>
      <c r="P3" s="32">
        <v>25.038</v>
      </c>
      <c r="Q3" s="32">
        <v>10.013</v>
      </c>
      <c r="S3" s="18" t="s">
        <v>38</v>
      </c>
    </row>
    <row r="4" spans="1:35" ht="15.75" x14ac:dyDescent="0.5">
      <c r="A4" s="31">
        <v>2</v>
      </c>
      <c r="B4" s="32">
        <v>17.812999999999999</v>
      </c>
      <c r="C4" s="32">
        <v>9.1259999999999994</v>
      </c>
      <c r="D4" s="32">
        <v>0</v>
      </c>
      <c r="E4" s="32">
        <v>6.0229999999999997</v>
      </c>
      <c r="F4" s="32">
        <v>9.8279999999999994</v>
      </c>
      <c r="G4" s="32">
        <v>14.58</v>
      </c>
      <c r="H4" s="32">
        <v>12.35</v>
      </c>
      <c r="I4" s="32">
        <v>12.734999999999999</v>
      </c>
      <c r="J4" s="32">
        <v>17.721</v>
      </c>
      <c r="K4" s="32">
        <v>15.138</v>
      </c>
      <c r="L4" s="32">
        <v>11.456</v>
      </c>
      <c r="M4" s="32">
        <v>12.08</v>
      </c>
      <c r="N4" s="32">
        <v>7.2469999999999999</v>
      </c>
      <c r="O4" s="32">
        <v>16.498999999999999</v>
      </c>
      <c r="P4" s="32">
        <v>28.823</v>
      </c>
      <c r="Q4" s="32">
        <v>13.798</v>
      </c>
      <c r="S4" s="18" t="s">
        <v>39</v>
      </c>
      <c r="W4">
        <v>1</v>
      </c>
    </row>
    <row r="5" spans="1:35" ht="15.75" x14ac:dyDescent="0.5">
      <c r="A5" s="31">
        <v>3</v>
      </c>
      <c r="B5" s="32">
        <v>17.155999999999999</v>
      </c>
      <c r="C5" s="32">
        <v>11.619</v>
      </c>
      <c r="D5" s="32">
        <v>5.99</v>
      </c>
      <c r="E5" s="32">
        <v>0</v>
      </c>
      <c r="F5" s="32">
        <v>10.866</v>
      </c>
      <c r="G5" s="32">
        <v>13.814</v>
      </c>
      <c r="H5" s="32">
        <v>16.227</v>
      </c>
      <c r="I5" s="32">
        <v>11.968999999999999</v>
      </c>
      <c r="J5" s="32">
        <v>12.909000000000001</v>
      </c>
      <c r="K5" s="32">
        <v>10.326000000000001</v>
      </c>
      <c r="L5" s="32">
        <v>6.15</v>
      </c>
      <c r="M5" s="32">
        <v>7.2679999999999998</v>
      </c>
      <c r="N5" s="32">
        <v>6.4809999999999999</v>
      </c>
      <c r="O5" s="32">
        <v>15.891</v>
      </c>
      <c r="P5" s="32">
        <v>28.215</v>
      </c>
      <c r="Q5" s="32">
        <v>12.826000000000001</v>
      </c>
      <c r="S5" s="18" t="s">
        <v>40</v>
      </c>
      <c r="AF5">
        <v>1</v>
      </c>
    </row>
    <row r="6" spans="1:35" ht="15.75" x14ac:dyDescent="0.5">
      <c r="A6" s="31">
        <v>4</v>
      </c>
      <c r="B6" s="32">
        <v>11.372</v>
      </c>
      <c r="C6" s="32">
        <v>10.191000000000001</v>
      </c>
      <c r="D6" s="32">
        <v>9.375</v>
      </c>
      <c r="E6" s="32">
        <v>13.577</v>
      </c>
      <c r="F6" s="32">
        <v>0</v>
      </c>
      <c r="G6" s="32">
        <v>9.734</v>
      </c>
      <c r="H6" s="32">
        <v>5.7249999999999996</v>
      </c>
      <c r="I6" s="32">
        <v>10.16</v>
      </c>
      <c r="J6" s="32">
        <v>31.974</v>
      </c>
      <c r="K6" s="32">
        <v>31.731999999999999</v>
      </c>
      <c r="L6" s="32">
        <v>19.678000000000001</v>
      </c>
      <c r="M6" s="32">
        <v>21.811</v>
      </c>
      <c r="N6" s="32">
        <v>15.94</v>
      </c>
      <c r="O6" s="32">
        <v>21.225000000000001</v>
      </c>
      <c r="P6" s="32">
        <v>33.548999999999999</v>
      </c>
      <c r="Q6" s="32">
        <v>21.891999999999999</v>
      </c>
      <c r="S6" s="18" t="s">
        <v>41</v>
      </c>
      <c r="V6">
        <v>1</v>
      </c>
    </row>
    <row r="7" spans="1:35" ht="15.75" x14ac:dyDescent="0.5">
      <c r="A7" s="31">
        <v>5</v>
      </c>
      <c r="B7" s="32">
        <v>4.9039999999999999</v>
      </c>
      <c r="C7" s="32">
        <v>14.93</v>
      </c>
      <c r="D7" s="32">
        <v>14.276999999999999</v>
      </c>
      <c r="E7" s="32">
        <v>15.064</v>
      </c>
      <c r="F7" s="32">
        <v>13.115</v>
      </c>
      <c r="G7" s="32">
        <v>0</v>
      </c>
      <c r="H7" s="32">
        <v>4.899</v>
      </c>
      <c r="I7" s="32">
        <v>3.7519999999999998</v>
      </c>
      <c r="J7" s="32">
        <v>24.859000000000002</v>
      </c>
      <c r="K7" s="32">
        <v>23.154</v>
      </c>
      <c r="L7" s="32">
        <v>18.449000000000002</v>
      </c>
      <c r="M7" s="32">
        <v>20.602</v>
      </c>
      <c r="N7" s="32">
        <v>9.532</v>
      </c>
      <c r="O7" s="32">
        <v>25.963999999999999</v>
      </c>
      <c r="P7" s="32">
        <v>38.287999999999997</v>
      </c>
      <c r="Q7" s="32">
        <v>26.631</v>
      </c>
      <c r="S7" s="18" t="s">
        <v>42</v>
      </c>
      <c r="Z7">
        <v>1</v>
      </c>
    </row>
    <row r="8" spans="1:35" ht="15.75" x14ac:dyDescent="0.5">
      <c r="A8" s="31">
        <v>6</v>
      </c>
      <c r="B8" s="32">
        <v>11.587999999999999</v>
      </c>
      <c r="C8" s="32">
        <v>12.558999999999999</v>
      </c>
      <c r="D8" s="32">
        <v>11.906000000000001</v>
      </c>
      <c r="E8" s="32">
        <v>15.996</v>
      </c>
      <c r="F8" s="32">
        <v>6.9669999999999996</v>
      </c>
      <c r="G8" s="32">
        <v>11.726000000000001</v>
      </c>
      <c r="H8" s="32">
        <v>0</v>
      </c>
      <c r="I8" s="32">
        <v>12.151999999999999</v>
      </c>
      <c r="J8" s="32">
        <v>34.341999999999999</v>
      </c>
      <c r="K8" s="32">
        <v>34.1</v>
      </c>
      <c r="L8" s="32">
        <v>20.634</v>
      </c>
      <c r="M8" s="32">
        <v>22.786999999999999</v>
      </c>
      <c r="N8" s="32">
        <v>17.931999999999999</v>
      </c>
      <c r="O8" s="32">
        <v>23.593</v>
      </c>
      <c r="P8" s="32">
        <v>35.917000000000002</v>
      </c>
      <c r="Q8" s="32">
        <v>24.26</v>
      </c>
      <c r="S8" s="18" t="s">
        <v>43</v>
      </c>
      <c r="X8">
        <v>1</v>
      </c>
    </row>
    <row r="9" spans="1:35" ht="15.75" x14ac:dyDescent="0.5">
      <c r="A9" s="31">
        <v>7</v>
      </c>
      <c r="B9" s="32">
        <v>5.984</v>
      </c>
      <c r="C9" s="32">
        <v>17.012</v>
      </c>
      <c r="D9" s="32">
        <v>11.945</v>
      </c>
      <c r="E9" s="32">
        <v>12.209</v>
      </c>
      <c r="F9" s="32">
        <v>14.816000000000001</v>
      </c>
      <c r="G9" s="32">
        <v>2.6419999999999999</v>
      </c>
      <c r="H9" s="32">
        <v>6.9809999999999999</v>
      </c>
      <c r="I9" s="32">
        <v>0</v>
      </c>
      <c r="J9" s="32">
        <v>22.004000000000001</v>
      </c>
      <c r="K9" s="32">
        <v>20.298999999999999</v>
      </c>
      <c r="L9" s="32">
        <v>15.593999999999999</v>
      </c>
      <c r="M9" s="32">
        <v>17.747</v>
      </c>
      <c r="N9" s="32">
        <v>6.6769999999999996</v>
      </c>
      <c r="O9" s="32">
        <v>28.045999999999999</v>
      </c>
      <c r="P9" s="32">
        <v>40.369999999999997</v>
      </c>
      <c r="Q9" s="32">
        <v>28.713000000000001</v>
      </c>
      <c r="S9" s="18" t="s">
        <v>44</v>
      </c>
      <c r="T9">
        <v>1</v>
      </c>
    </row>
    <row r="10" spans="1:35" ht="15.75" x14ac:dyDescent="0.5">
      <c r="A10" s="31">
        <v>8</v>
      </c>
      <c r="B10" s="32">
        <v>27.515000000000001</v>
      </c>
      <c r="C10" s="32">
        <v>23.128</v>
      </c>
      <c r="D10" s="32">
        <v>17.428000000000001</v>
      </c>
      <c r="E10" s="32">
        <v>10.601000000000001</v>
      </c>
      <c r="F10" s="32">
        <v>21.129000000000001</v>
      </c>
      <c r="G10" s="32">
        <v>24.172999999999998</v>
      </c>
      <c r="H10" s="32">
        <v>28.512</v>
      </c>
      <c r="I10" s="32">
        <v>22.327999999999999</v>
      </c>
      <c r="J10" s="32">
        <v>0</v>
      </c>
      <c r="K10" s="32">
        <v>1.655</v>
      </c>
      <c r="L10" s="32">
        <v>6.9480000000000004</v>
      </c>
      <c r="M10" s="32">
        <v>5.7030000000000003</v>
      </c>
      <c r="N10" s="32">
        <v>16.495999999999999</v>
      </c>
      <c r="O10" s="32">
        <v>15.675000000000001</v>
      </c>
      <c r="P10" s="32">
        <v>27.998999999999999</v>
      </c>
      <c r="Q10" s="32">
        <v>8.8989999999999991</v>
      </c>
      <c r="S10" s="18" t="s">
        <v>45</v>
      </c>
    </row>
    <row r="11" spans="1:35" ht="15.75" x14ac:dyDescent="0.5">
      <c r="A11" s="31">
        <v>9</v>
      </c>
      <c r="B11" s="32">
        <v>26.530999999999999</v>
      </c>
      <c r="C11" s="32">
        <v>23.385000000000002</v>
      </c>
      <c r="D11" s="32">
        <v>16.443999999999999</v>
      </c>
      <c r="E11" s="32">
        <v>9.6170000000000009</v>
      </c>
      <c r="F11" s="32">
        <v>20.145</v>
      </c>
      <c r="G11" s="32">
        <v>23.189</v>
      </c>
      <c r="H11" s="32">
        <v>27.527999999999999</v>
      </c>
      <c r="I11" s="32">
        <v>21.344000000000001</v>
      </c>
      <c r="J11" s="32">
        <v>2.5059999999999998</v>
      </c>
      <c r="K11" s="32">
        <v>0</v>
      </c>
      <c r="L11" s="32">
        <v>5.9640000000000004</v>
      </c>
      <c r="M11" s="32">
        <v>4.7750000000000004</v>
      </c>
      <c r="N11" s="32">
        <v>15.512</v>
      </c>
      <c r="O11" s="32">
        <v>15.932</v>
      </c>
      <c r="P11" s="32">
        <v>28.256</v>
      </c>
      <c r="Q11" s="32">
        <v>7.9160000000000004</v>
      </c>
      <c r="S11" s="18" t="s">
        <v>46</v>
      </c>
    </row>
    <row r="12" spans="1:35" ht="15.75" x14ac:dyDescent="0.5">
      <c r="A12" s="31">
        <v>10</v>
      </c>
      <c r="B12" s="32">
        <v>22.529</v>
      </c>
      <c r="C12" s="32">
        <v>15.852</v>
      </c>
      <c r="D12" s="32">
        <v>12.442</v>
      </c>
      <c r="E12" s="32">
        <v>5.6150000000000002</v>
      </c>
      <c r="F12" s="32">
        <v>16.143000000000001</v>
      </c>
      <c r="G12" s="32">
        <v>19.187000000000001</v>
      </c>
      <c r="H12" s="32">
        <v>23.526</v>
      </c>
      <c r="I12" s="32">
        <v>17.341999999999999</v>
      </c>
      <c r="J12" s="32">
        <v>6.8550000000000004</v>
      </c>
      <c r="K12" s="32">
        <v>5.15</v>
      </c>
      <c r="L12" s="32">
        <v>0</v>
      </c>
      <c r="M12" s="32">
        <v>2.9329999999999998</v>
      </c>
      <c r="N12" s="32">
        <v>11.51</v>
      </c>
      <c r="O12" s="32">
        <v>11.819000000000001</v>
      </c>
      <c r="P12" s="32">
        <v>24.143000000000001</v>
      </c>
      <c r="Q12" s="32">
        <v>6.5650000000000004</v>
      </c>
      <c r="S12" s="18" t="s">
        <v>47</v>
      </c>
    </row>
    <row r="13" spans="1:35" ht="15.75" x14ac:dyDescent="0.5">
      <c r="A13" s="31">
        <v>11</v>
      </c>
      <c r="B13" s="32">
        <v>23.824999999999999</v>
      </c>
      <c r="C13" s="32">
        <v>15.708</v>
      </c>
      <c r="D13" s="32">
        <v>11.715999999999999</v>
      </c>
      <c r="E13" s="32">
        <v>6.202</v>
      </c>
      <c r="F13" s="32">
        <v>16.088999999999999</v>
      </c>
      <c r="G13" s="32">
        <v>20.483000000000001</v>
      </c>
      <c r="H13" s="32">
        <v>24.821999999999999</v>
      </c>
      <c r="I13" s="32">
        <v>18.638000000000002</v>
      </c>
      <c r="J13" s="32">
        <v>7.0540000000000003</v>
      </c>
      <c r="K13" s="32">
        <v>4.4710000000000001</v>
      </c>
      <c r="L13" s="32">
        <v>3.258</v>
      </c>
      <c r="M13" s="32">
        <v>0</v>
      </c>
      <c r="N13" s="32">
        <v>12.805999999999999</v>
      </c>
      <c r="O13" s="32">
        <v>10.144</v>
      </c>
      <c r="P13" s="32">
        <v>22.468</v>
      </c>
      <c r="Q13" s="32">
        <v>4.8899999999999997</v>
      </c>
      <c r="S13" s="18" t="s">
        <v>48</v>
      </c>
    </row>
    <row r="14" spans="1:35" ht="15.75" x14ac:dyDescent="0.5">
      <c r="A14" s="31">
        <v>12</v>
      </c>
      <c r="B14" s="32">
        <v>12.617000000000001</v>
      </c>
      <c r="C14" s="32">
        <v>21.489000000000001</v>
      </c>
      <c r="D14" s="32">
        <v>9.2520000000000007</v>
      </c>
      <c r="E14" s="32">
        <v>8.7929999999999993</v>
      </c>
      <c r="F14" s="32">
        <v>12.122999999999999</v>
      </c>
      <c r="G14" s="32">
        <v>9.2750000000000004</v>
      </c>
      <c r="H14" s="32">
        <v>13.614000000000001</v>
      </c>
      <c r="I14" s="32">
        <v>7.43</v>
      </c>
      <c r="J14" s="32">
        <v>15.348000000000001</v>
      </c>
      <c r="K14" s="32">
        <v>13.643000000000001</v>
      </c>
      <c r="L14" s="32">
        <v>8.9380000000000006</v>
      </c>
      <c r="M14" s="32">
        <v>11.090999999999999</v>
      </c>
      <c r="N14" s="32">
        <v>0</v>
      </c>
      <c r="O14" s="32">
        <v>19.556999999999999</v>
      </c>
      <c r="P14" s="32">
        <v>31.881</v>
      </c>
      <c r="Q14" s="32">
        <v>14.723000000000001</v>
      </c>
      <c r="S14" s="18" t="s">
        <v>49</v>
      </c>
      <c r="AA14">
        <v>1</v>
      </c>
    </row>
    <row r="15" spans="1:35" ht="15.75" x14ac:dyDescent="0.5">
      <c r="A15" s="31">
        <v>13</v>
      </c>
      <c r="B15" s="32">
        <v>38.942</v>
      </c>
      <c r="C15" s="32">
        <v>21.722999999999999</v>
      </c>
      <c r="D15" s="32">
        <v>25.376000000000001</v>
      </c>
      <c r="E15" s="32">
        <v>24.667000000000002</v>
      </c>
      <c r="F15" s="32">
        <v>30.701000000000001</v>
      </c>
      <c r="G15" s="32">
        <v>37.304000000000002</v>
      </c>
      <c r="H15" s="32">
        <v>33.231000000000002</v>
      </c>
      <c r="I15" s="32">
        <v>37.729999999999997</v>
      </c>
      <c r="J15" s="32">
        <v>23.184999999999999</v>
      </c>
      <c r="K15" s="32">
        <v>22.943000000000001</v>
      </c>
      <c r="L15" s="32">
        <v>21.95</v>
      </c>
      <c r="M15" s="32">
        <v>17.138000000000002</v>
      </c>
      <c r="N15" s="32">
        <v>30.620999999999999</v>
      </c>
      <c r="O15" s="32">
        <v>0</v>
      </c>
      <c r="P15" s="32">
        <v>12.411</v>
      </c>
      <c r="Q15" s="32">
        <v>12.831</v>
      </c>
      <c r="S15" s="18" t="s">
        <v>50</v>
      </c>
    </row>
    <row r="16" spans="1:35" ht="15.75" x14ac:dyDescent="0.5">
      <c r="A16" s="31">
        <v>14</v>
      </c>
      <c r="B16" s="32">
        <v>44.203000000000003</v>
      </c>
      <c r="C16" s="32">
        <v>26.984000000000002</v>
      </c>
      <c r="D16" s="32">
        <v>30.637</v>
      </c>
      <c r="E16" s="32">
        <v>29.928000000000001</v>
      </c>
      <c r="F16" s="32">
        <v>35.962000000000003</v>
      </c>
      <c r="G16" s="32">
        <v>42.564999999999998</v>
      </c>
      <c r="H16" s="32">
        <v>38.491999999999997</v>
      </c>
      <c r="I16" s="32">
        <v>42.991</v>
      </c>
      <c r="J16" s="32">
        <v>28.446000000000002</v>
      </c>
      <c r="K16" s="32">
        <v>28.204000000000001</v>
      </c>
      <c r="L16" s="32">
        <v>27.210999999999999</v>
      </c>
      <c r="M16" s="32">
        <v>22.399000000000001</v>
      </c>
      <c r="N16" s="32">
        <v>35.881999999999998</v>
      </c>
      <c r="O16" s="32">
        <v>19.530999999999999</v>
      </c>
      <c r="P16" s="32">
        <v>0</v>
      </c>
      <c r="Q16" s="32">
        <v>18.091999999999999</v>
      </c>
      <c r="S16" s="18" t="s">
        <v>51</v>
      </c>
    </row>
    <row r="17" spans="1:19" ht="15.75" x14ac:dyDescent="0.5">
      <c r="A17" s="31">
        <v>15</v>
      </c>
      <c r="B17" s="32">
        <v>30.065999999999999</v>
      </c>
      <c r="C17" s="32">
        <v>12.847</v>
      </c>
      <c r="D17" s="32">
        <v>14.999000000000001</v>
      </c>
      <c r="E17" s="32">
        <v>11.882</v>
      </c>
      <c r="F17" s="32">
        <v>21.824999999999999</v>
      </c>
      <c r="G17" s="32">
        <v>28.428000000000001</v>
      </c>
      <c r="H17" s="32">
        <v>24.355</v>
      </c>
      <c r="I17" s="32">
        <v>28.853999999999999</v>
      </c>
      <c r="J17" s="32">
        <v>16.709</v>
      </c>
      <c r="K17" s="32">
        <v>16.466999999999999</v>
      </c>
      <c r="L17" s="32">
        <v>7.6790000000000003</v>
      </c>
      <c r="M17" s="32">
        <v>4.9059999999999997</v>
      </c>
      <c r="N17" s="32">
        <v>16.992000000000001</v>
      </c>
      <c r="O17" s="32">
        <v>5.2530000000000001</v>
      </c>
      <c r="P17" s="32">
        <v>17.577000000000002</v>
      </c>
      <c r="Q17" s="32">
        <v>0</v>
      </c>
      <c r="S17" s="18" t="s">
        <v>52</v>
      </c>
    </row>
    <row r="19" spans="1:19" x14ac:dyDescent="0.45">
      <c r="R19" s="19">
        <f>SUMPRODUCT(B2:Q17,T2:AI17)</f>
        <v>55.933</v>
      </c>
    </row>
    <row r="21" spans="1:19" x14ac:dyDescent="0.45">
      <c r="R21">
        <v>163.65</v>
      </c>
    </row>
    <row r="22" spans="1:19" x14ac:dyDescent="0.45">
      <c r="R22" s="20">
        <f>R21-R19</f>
        <v>107.71700000000001</v>
      </c>
    </row>
    <row r="23" spans="1:19" ht="28.5" x14ac:dyDescent="0.45">
      <c r="A23" s="33"/>
      <c r="B23" s="31">
        <v>1</v>
      </c>
      <c r="C23" s="31">
        <v>2</v>
      </c>
      <c r="D23" s="31">
        <v>3</v>
      </c>
      <c r="E23" s="31">
        <v>4</v>
      </c>
      <c r="F23" s="31">
        <v>5</v>
      </c>
      <c r="G23" s="31">
        <v>6</v>
      </c>
      <c r="H23" s="31">
        <v>7</v>
      </c>
      <c r="I23" s="31">
        <v>8</v>
      </c>
      <c r="J23" s="31">
        <v>9</v>
      </c>
      <c r="K23" s="31">
        <v>10</v>
      </c>
      <c r="L23" s="31">
        <v>11</v>
      </c>
      <c r="M23" s="31">
        <v>12</v>
      </c>
      <c r="N23" s="31">
        <v>13</v>
      </c>
      <c r="O23" s="31">
        <v>14</v>
      </c>
      <c r="P23" s="31">
        <v>15</v>
      </c>
      <c r="Q23" s="31" t="s">
        <v>35</v>
      </c>
    </row>
    <row r="24" spans="1:19" ht="15.75" x14ac:dyDescent="0.5">
      <c r="A24" s="31">
        <v>1</v>
      </c>
      <c r="B24" s="32">
        <v>0</v>
      </c>
      <c r="C24" s="32">
        <v>1</v>
      </c>
      <c r="D24" s="32">
        <v>1</v>
      </c>
      <c r="E24" s="32">
        <v>1</v>
      </c>
      <c r="F24" s="32">
        <v>1</v>
      </c>
      <c r="G24" s="32">
        <v>1</v>
      </c>
      <c r="H24" s="32">
        <v>0</v>
      </c>
      <c r="I24" s="32">
        <v>2</v>
      </c>
      <c r="J24" s="32">
        <v>1</v>
      </c>
      <c r="K24" s="32">
        <v>3</v>
      </c>
      <c r="L24" s="32">
        <v>0</v>
      </c>
      <c r="M24" s="32">
        <v>1</v>
      </c>
      <c r="N24" s="32">
        <v>3</v>
      </c>
      <c r="O24" s="32">
        <v>0</v>
      </c>
      <c r="P24" s="32">
        <v>0</v>
      </c>
      <c r="Q24" s="32">
        <f>SUM(B24:P24)</f>
        <v>15</v>
      </c>
    </row>
    <row r="25" spans="1:19" ht="15.75" x14ac:dyDescent="0.5">
      <c r="A25" s="31">
        <v>2</v>
      </c>
      <c r="B25" s="32">
        <v>0</v>
      </c>
      <c r="C25" s="32">
        <v>0</v>
      </c>
      <c r="D25" s="32">
        <v>3</v>
      </c>
      <c r="E25" s="32">
        <v>1</v>
      </c>
      <c r="F25" s="32">
        <v>3</v>
      </c>
      <c r="G25" s="32">
        <v>0</v>
      </c>
      <c r="H25" s="32">
        <v>0</v>
      </c>
      <c r="I25" s="32">
        <v>3</v>
      </c>
      <c r="J25" s="32">
        <v>2</v>
      </c>
      <c r="K25" s="32">
        <v>0</v>
      </c>
      <c r="L25" s="32">
        <v>2</v>
      </c>
      <c r="M25" s="32">
        <v>0</v>
      </c>
      <c r="N25" s="32">
        <v>2</v>
      </c>
      <c r="O25" s="32">
        <v>0</v>
      </c>
      <c r="P25" s="32">
        <v>2</v>
      </c>
      <c r="Q25" s="32">
        <f t="shared" ref="Q25:Q38" si="0">SUM(B25:P25)</f>
        <v>18</v>
      </c>
    </row>
    <row r="26" spans="1:19" ht="15.75" x14ac:dyDescent="0.5">
      <c r="A26" s="31">
        <v>3</v>
      </c>
      <c r="B26" s="32">
        <v>0</v>
      </c>
      <c r="C26" s="32">
        <v>0</v>
      </c>
      <c r="D26" s="32">
        <v>0</v>
      </c>
      <c r="E26" s="32">
        <v>2</v>
      </c>
      <c r="F26" s="32">
        <v>2</v>
      </c>
      <c r="G26" s="32">
        <v>1</v>
      </c>
      <c r="H26" s="32">
        <v>1</v>
      </c>
      <c r="I26" s="32">
        <v>2</v>
      </c>
      <c r="J26" s="32">
        <v>0</v>
      </c>
      <c r="K26" s="32">
        <v>1</v>
      </c>
      <c r="L26" s="32">
        <v>2</v>
      </c>
      <c r="M26" s="32">
        <v>0</v>
      </c>
      <c r="N26" s="32">
        <v>1</v>
      </c>
      <c r="O26" s="32">
        <v>0</v>
      </c>
      <c r="P26" s="32">
        <v>0</v>
      </c>
      <c r="Q26" s="32">
        <f t="shared" si="0"/>
        <v>12</v>
      </c>
    </row>
    <row r="27" spans="1:19" ht="15.75" x14ac:dyDescent="0.5">
      <c r="A27" s="31">
        <v>4</v>
      </c>
      <c r="B27" s="32">
        <v>2</v>
      </c>
      <c r="C27" s="32">
        <v>1</v>
      </c>
      <c r="D27" s="32">
        <v>1</v>
      </c>
      <c r="E27" s="32">
        <v>0</v>
      </c>
      <c r="F27" s="32">
        <v>2</v>
      </c>
      <c r="G27" s="32">
        <v>2</v>
      </c>
      <c r="H27" s="32">
        <v>2</v>
      </c>
      <c r="I27" s="32">
        <v>3</v>
      </c>
      <c r="J27" s="32">
        <v>2</v>
      </c>
      <c r="K27" s="32">
        <v>1</v>
      </c>
      <c r="L27" s="32">
        <v>1</v>
      </c>
      <c r="M27" s="32">
        <v>2</v>
      </c>
      <c r="N27" s="32">
        <v>1</v>
      </c>
      <c r="O27" s="32">
        <v>1</v>
      </c>
      <c r="P27" s="32">
        <v>1</v>
      </c>
      <c r="Q27" s="32">
        <f t="shared" si="0"/>
        <v>22</v>
      </c>
    </row>
    <row r="28" spans="1:19" ht="15.75" x14ac:dyDescent="0.5">
      <c r="A28" s="31">
        <v>5</v>
      </c>
      <c r="B28" s="32">
        <v>0</v>
      </c>
      <c r="C28" s="32">
        <v>1</v>
      </c>
      <c r="D28" s="32">
        <v>1</v>
      </c>
      <c r="E28" s="32">
        <v>2</v>
      </c>
      <c r="F28" s="32">
        <v>0</v>
      </c>
      <c r="G28" s="32">
        <v>1</v>
      </c>
      <c r="H28" s="32">
        <v>2</v>
      </c>
      <c r="I28" s="32">
        <v>0</v>
      </c>
      <c r="J28" s="32">
        <v>2</v>
      </c>
      <c r="K28" s="32">
        <v>3</v>
      </c>
      <c r="L28" s="32">
        <v>2</v>
      </c>
      <c r="M28" s="32">
        <v>0</v>
      </c>
      <c r="N28" s="32">
        <v>0</v>
      </c>
      <c r="O28" s="32">
        <v>0</v>
      </c>
      <c r="P28" s="32">
        <v>0</v>
      </c>
      <c r="Q28" s="32">
        <f t="shared" si="0"/>
        <v>14</v>
      </c>
    </row>
    <row r="29" spans="1:19" ht="15.75" x14ac:dyDescent="0.5">
      <c r="A29" s="31">
        <v>6</v>
      </c>
      <c r="B29" s="32">
        <v>0</v>
      </c>
      <c r="C29" s="32">
        <v>2</v>
      </c>
      <c r="D29" s="32">
        <v>3</v>
      </c>
      <c r="E29" s="32">
        <v>0</v>
      </c>
      <c r="F29" s="32">
        <v>2</v>
      </c>
      <c r="G29" s="32">
        <v>0</v>
      </c>
      <c r="H29" s="32">
        <v>1</v>
      </c>
      <c r="I29" s="32">
        <v>0</v>
      </c>
      <c r="J29" s="32">
        <v>2</v>
      </c>
      <c r="K29" s="32">
        <v>0</v>
      </c>
      <c r="L29" s="32">
        <v>2</v>
      </c>
      <c r="M29" s="32">
        <v>1</v>
      </c>
      <c r="N29" s="32">
        <v>1</v>
      </c>
      <c r="O29" s="32">
        <v>1</v>
      </c>
      <c r="P29" s="32">
        <v>2</v>
      </c>
      <c r="Q29" s="32">
        <f t="shared" si="0"/>
        <v>17</v>
      </c>
    </row>
    <row r="30" spans="1:19" ht="15.75" x14ac:dyDescent="0.5">
      <c r="A30" s="31">
        <v>7</v>
      </c>
      <c r="B30" s="32">
        <v>2</v>
      </c>
      <c r="C30" s="32">
        <v>1</v>
      </c>
      <c r="D30" s="32">
        <v>2</v>
      </c>
      <c r="E30" s="32">
        <v>1</v>
      </c>
      <c r="F30" s="32">
        <v>1</v>
      </c>
      <c r="G30" s="32">
        <v>0</v>
      </c>
      <c r="H30" s="32">
        <v>0</v>
      </c>
      <c r="I30" s="32">
        <v>0</v>
      </c>
      <c r="J30" s="32">
        <v>2</v>
      </c>
      <c r="K30" s="32">
        <v>0</v>
      </c>
      <c r="L30" s="32">
        <v>3</v>
      </c>
      <c r="M30" s="32">
        <v>2</v>
      </c>
      <c r="N30" s="32">
        <v>1</v>
      </c>
      <c r="O30" s="32">
        <v>2</v>
      </c>
      <c r="P30" s="32">
        <v>0</v>
      </c>
      <c r="Q30" s="32">
        <f t="shared" si="0"/>
        <v>17</v>
      </c>
    </row>
    <row r="31" spans="1:19" ht="15.75" x14ac:dyDescent="0.5">
      <c r="A31" s="31">
        <v>8</v>
      </c>
      <c r="B31" s="32">
        <v>2</v>
      </c>
      <c r="C31" s="32">
        <v>1</v>
      </c>
      <c r="D31" s="32">
        <v>0</v>
      </c>
      <c r="E31" s="32">
        <v>0</v>
      </c>
      <c r="F31" s="32">
        <v>2</v>
      </c>
      <c r="G31" s="32">
        <v>2</v>
      </c>
      <c r="H31" s="32">
        <v>2</v>
      </c>
      <c r="I31" s="32">
        <v>0</v>
      </c>
      <c r="J31" s="32">
        <v>2</v>
      </c>
      <c r="K31" s="32">
        <v>0</v>
      </c>
      <c r="L31" s="32">
        <v>0</v>
      </c>
      <c r="M31" s="32">
        <v>0</v>
      </c>
      <c r="N31" s="32">
        <v>2</v>
      </c>
      <c r="O31" s="32">
        <v>1</v>
      </c>
      <c r="P31" s="32">
        <v>2</v>
      </c>
      <c r="Q31" s="32">
        <f t="shared" si="0"/>
        <v>16</v>
      </c>
    </row>
    <row r="32" spans="1:19" ht="15.75" x14ac:dyDescent="0.5">
      <c r="A32" s="31">
        <v>9</v>
      </c>
      <c r="B32" s="32">
        <v>2</v>
      </c>
      <c r="C32" s="32">
        <v>1</v>
      </c>
      <c r="D32" s="32">
        <v>0</v>
      </c>
      <c r="E32" s="32">
        <v>1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2</v>
      </c>
      <c r="L32" s="32">
        <v>1</v>
      </c>
      <c r="M32" s="32">
        <v>2</v>
      </c>
      <c r="N32" s="32">
        <v>1</v>
      </c>
      <c r="O32" s="32">
        <v>0</v>
      </c>
      <c r="P32" s="32">
        <v>2</v>
      </c>
      <c r="Q32" s="32">
        <f t="shared" si="0"/>
        <v>12</v>
      </c>
    </row>
    <row r="33" spans="1:17" ht="15.75" x14ac:dyDescent="0.5">
      <c r="A33" s="31">
        <v>10</v>
      </c>
      <c r="B33" s="32">
        <v>2</v>
      </c>
      <c r="C33" s="32">
        <v>3</v>
      </c>
      <c r="D33" s="32">
        <v>0</v>
      </c>
      <c r="E33" s="32">
        <v>1</v>
      </c>
      <c r="F33" s="32">
        <v>2</v>
      </c>
      <c r="G33" s="32">
        <v>1</v>
      </c>
      <c r="H33" s="32">
        <v>2</v>
      </c>
      <c r="I33" s="32">
        <v>1</v>
      </c>
      <c r="J33" s="32">
        <v>2</v>
      </c>
      <c r="K33" s="32">
        <v>0</v>
      </c>
      <c r="L33" s="32">
        <v>0</v>
      </c>
      <c r="M33" s="32">
        <v>1</v>
      </c>
      <c r="N33" s="32">
        <v>3</v>
      </c>
      <c r="O33" s="32">
        <v>1</v>
      </c>
      <c r="P33" s="32">
        <v>0</v>
      </c>
      <c r="Q33" s="32">
        <f t="shared" si="0"/>
        <v>19</v>
      </c>
    </row>
    <row r="34" spans="1:17" ht="15.75" x14ac:dyDescent="0.5">
      <c r="A34" s="31">
        <v>11</v>
      </c>
      <c r="B34" s="32">
        <v>3</v>
      </c>
      <c r="C34" s="32">
        <v>1</v>
      </c>
      <c r="D34" s="32">
        <v>0</v>
      </c>
      <c r="E34" s="32">
        <v>0</v>
      </c>
      <c r="F34" s="32">
        <v>1</v>
      </c>
      <c r="G34" s="32">
        <v>0</v>
      </c>
      <c r="H34" s="32">
        <v>1</v>
      </c>
      <c r="I34" s="32">
        <v>2</v>
      </c>
      <c r="J34" s="32">
        <v>1</v>
      </c>
      <c r="K34" s="32">
        <v>2</v>
      </c>
      <c r="L34" s="32">
        <v>0</v>
      </c>
      <c r="M34" s="32">
        <v>0</v>
      </c>
      <c r="N34" s="32">
        <v>2</v>
      </c>
      <c r="O34" s="32">
        <v>0</v>
      </c>
      <c r="P34" s="32">
        <v>1</v>
      </c>
      <c r="Q34" s="32">
        <f t="shared" si="0"/>
        <v>14</v>
      </c>
    </row>
    <row r="35" spans="1:17" ht="15.75" x14ac:dyDescent="0.5">
      <c r="A35" s="31">
        <v>12</v>
      </c>
      <c r="B35" s="32">
        <v>2</v>
      </c>
      <c r="C35" s="32">
        <v>2</v>
      </c>
      <c r="D35" s="32">
        <v>0</v>
      </c>
      <c r="E35" s="32">
        <v>1</v>
      </c>
      <c r="F35" s="32">
        <v>1</v>
      </c>
      <c r="G35" s="32">
        <v>1</v>
      </c>
      <c r="H35" s="32">
        <v>1</v>
      </c>
      <c r="I35" s="32">
        <v>0</v>
      </c>
      <c r="J35" s="32">
        <v>2</v>
      </c>
      <c r="K35" s="32">
        <v>0</v>
      </c>
      <c r="L35" s="32">
        <v>0</v>
      </c>
      <c r="M35" s="32">
        <v>0</v>
      </c>
      <c r="N35" s="32">
        <v>1</v>
      </c>
      <c r="O35" s="32">
        <v>1</v>
      </c>
      <c r="P35" s="32">
        <v>0</v>
      </c>
      <c r="Q35" s="32">
        <f t="shared" si="0"/>
        <v>12</v>
      </c>
    </row>
    <row r="36" spans="1:17" ht="15.75" x14ac:dyDescent="0.5">
      <c r="A36" s="31">
        <v>13</v>
      </c>
      <c r="B36" s="32">
        <v>3</v>
      </c>
      <c r="C36" s="32">
        <v>2</v>
      </c>
      <c r="D36" s="32">
        <v>2</v>
      </c>
      <c r="E36" s="32">
        <v>0</v>
      </c>
      <c r="F36" s="32">
        <v>3</v>
      </c>
      <c r="G36" s="32">
        <v>0</v>
      </c>
      <c r="H36" s="32">
        <v>1</v>
      </c>
      <c r="I36" s="32">
        <v>1</v>
      </c>
      <c r="J36" s="32">
        <v>3</v>
      </c>
      <c r="K36" s="32">
        <v>0</v>
      </c>
      <c r="L36" s="32">
        <v>2</v>
      </c>
      <c r="M36" s="32">
        <v>0</v>
      </c>
      <c r="N36" s="32">
        <v>0</v>
      </c>
      <c r="O36" s="32">
        <v>1</v>
      </c>
      <c r="P36" s="32">
        <v>2</v>
      </c>
      <c r="Q36" s="32">
        <f t="shared" si="0"/>
        <v>20</v>
      </c>
    </row>
    <row r="37" spans="1:17" ht="15.75" x14ac:dyDescent="0.5">
      <c r="A37" s="31">
        <v>14</v>
      </c>
      <c r="B37" s="32">
        <v>1</v>
      </c>
      <c r="C37" s="32">
        <v>2</v>
      </c>
      <c r="D37" s="32">
        <v>1</v>
      </c>
      <c r="E37" s="32">
        <v>2</v>
      </c>
      <c r="F37" s="32">
        <v>1</v>
      </c>
      <c r="G37" s="32">
        <v>0</v>
      </c>
      <c r="H37" s="32">
        <v>3</v>
      </c>
      <c r="I37" s="32">
        <v>0</v>
      </c>
      <c r="J37" s="32">
        <v>2</v>
      </c>
      <c r="K37" s="32">
        <v>1</v>
      </c>
      <c r="L37" s="32">
        <v>2</v>
      </c>
      <c r="M37" s="32">
        <v>1</v>
      </c>
      <c r="N37" s="32">
        <v>0</v>
      </c>
      <c r="O37" s="32">
        <v>0</v>
      </c>
      <c r="P37" s="32">
        <v>3</v>
      </c>
      <c r="Q37" s="32">
        <f t="shared" si="0"/>
        <v>19</v>
      </c>
    </row>
    <row r="38" spans="1:17" ht="15.75" x14ac:dyDescent="0.5">
      <c r="A38" s="31">
        <v>15</v>
      </c>
      <c r="B38" s="32">
        <v>2</v>
      </c>
      <c r="C38" s="32">
        <v>2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2</v>
      </c>
      <c r="J38" s="32">
        <v>2</v>
      </c>
      <c r="K38" s="32">
        <v>1</v>
      </c>
      <c r="L38" s="32">
        <v>1</v>
      </c>
      <c r="M38" s="32">
        <v>2</v>
      </c>
      <c r="N38" s="32">
        <v>2</v>
      </c>
      <c r="O38" s="32">
        <v>1</v>
      </c>
      <c r="P38" s="32">
        <v>0</v>
      </c>
      <c r="Q38" s="32">
        <f t="shared" si="0"/>
        <v>15</v>
      </c>
    </row>
    <row r="39" spans="1:17" ht="26.75" customHeight="1" x14ac:dyDescent="0.5">
      <c r="A39" s="31" t="s">
        <v>36</v>
      </c>
      <c r="B39" s="32">
        <f>SUM(B24:B38)</f>
        <v>21</v>
      </c>
      <c r="C39" s="32">
        <f t="shared" ref="C39:P39" si="1">SUM(C24:C38)</f>
        <v>20</v>
      </c>
      <c r="D39" s="32">
        <f t="shared" si="1"/>
        <v>14</v>
      </c>
      <c r="E39" s="32">
        <f t="shared" si="1"/>
        <v>12</v>
      </c>
      <c r="F39" s="32">
        <f t="shared" si="1"/>
        <v>21</v>
      </c>
      <c r="G39" s="32">
        <f t="shared" si="1"/>
        <v>9</v>
      </c>
      <c r="H39" s="32">
        <f t="shared" si="1"/>
        <v>16</v>
      </c>
      <c r="I39" s="32">
        <f t="shared" si="1"/>
        <v>16</v>
      </c>
      <c r="J39" s="32">
        <f t="shared" si="1"/>
        <v>25</v>
      </c>
      <c r="K39" s="32">
        <f t="shared" si="1"/>
        <v>14</v>
      </c>
      <c r="L39" s="32">
        <f t="shared" si="1"/>
        <v>18</v>
      </c>
      <c r="M39" s="32">
        <f t="shared" si="1"/>
        <v>12</v>
      </c>
      <c r="N39" s="32">
        <f t="shared" si="1"/>
        <v>20</v>
      </c>
      <c r="O39" s="32">
        <f t="shared" si="1"/>
        <v>9</v>
      </c>
      <c r="P39" s="32">
        <f t="shared" si="1"/>
        <v>15</v>
      </c>
      <c r="Q39" s="32">
        <f>SUM(Q24:Q38)</f>
        <v>242</v>
      </c>
    </row>
    <row r="42" spans="1:17" x14ac:dyDescent="0.45">
      <c r="A42" s="2">
        <v>1</v>
      </c>
      <c r="B42" s="3">
        <v>0</v>
      </c>
    </row>
    <row r="43" spans="1:17" x14ac:dyDescent="0.45">
      <c r="A43" s="1">
        <v>2</v>
      </c>
      <c r="B43" s="3">
        <v>0</v>
      </c>
    </row>
    <row r="44" spans="1:17" x14ac:dyDescent="0.45">
      <c r="A44" s="2">
        <v>3</v>
      </c>
      <c r="B44" s="3">
        <v>0</v>
      </c>
    </row>
    <row r="45" spans="1:17" x14ac:dyDescent="0.45">
      <c r="A45" s="1">
        <v>4</v>
      </c>
      <c r="B45" s="3">
        <v>0</v>
      </c>
    </row>
    <row r="46" spans="1:17" x14ac:dyDescent="0.45">
      <c r="A46" s="2">
        <v>5</v>
      </c>
      <c r="B46" s="3">
        <v>0</v>
      </c>
    </row>
    <row r="47" spans="1:17" x14ac:dyDescent="0.45">
      <c r="A47" s="1">
        <v>6</v>
      </c>
      <c r="B47" s="3">
        <v>0</v>
      </c>
    </row>
    <row r="48" spans="1:17" x14ac:dyDescent="0.45">
      <c r="A48" s="2">
        <v>7</v>
      </c>
      <c r="B48" s="3">
        <v>0</v>
      </c>
    </row>
    <row r="49" spans="1:2" x14ac:dyDescent="0.45">
      <c r="A49" s="1">
        <v>8</v>
      </c>
      <c r="B49" s="3">
        <v>0</v>
      </c>
    </row>
    <row r="50" spans="1:2" x14ac:dyDescent="0.45">
      <c r="A50" s="2">
        <v>9</v>
      </c>
      <c r="B50" s="3">
        <v>0</v>
      </c>
    </row>
    <row r="51" spans="1:2" x14ac:dyDescent="0.45">
      <c r="A51" s="1">
        <v>10</v>
      </c>
      <c r="B51" s="3">
        <v>0</v>
      </c>
    </row>
    <row r="52" spans="1:2" x14ac:dyDescent="0.45">
      <c r="A52" s="2">
        <v>11</v>
      </c>
      <c r="B52" s="3">
        <v>0</v>
      </c>
    </row>
    <row r="53" spans="1:2" x14ac:dyDescent="0.45">
      <c r="A53" s="1">
        <v>12</v>
      </c>
      <c r="B53" s="3">
        <v>0</v>
      </c>
    </row>
    <row r="54" spans="1:2" x14ac:dyDescent="0.45">
      <c r="A54" s="2">
        <v>13</v>
      </c>
      <c r="B54" s="3">
        <v>0</v>
      </c>
    </row>
    <row r="55" spans="1:2" x14ac:dyDescent="0.45">
      <c r="A55" s="1">
        <v>14</v>
      </c>
      <c r="B55" s="3">
        <v>0</v>
      </c>
    </row>
    <row r="56" spans="1:2" x14ac:dyDescent="0.45">
      <c r="A56" s="2">
        <v>15</v>
      </c>
      <c r="B56" s="3">
        <v>0</v>
      </c>
    </row>
  </sheetData>
  <pageMargins left="0.7" right="0.7" top="0.75" bottom="0.75" header="0.3" footer="0.3"/>
  <ignoredErrors>
    <ignoredError sqref="B39:P39 Q24:Q3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FF35-8AAF-4BAB-A4E2-19F3566FAC1D}">
  <dimension ref="A1:AO46"/>
  <sheetViews>
    <sheetView zoomScale="109" zoomScaleNormal="94" workbookViewId="0">
      <selection activeCell="A30" sqref="A30:S40"/>
    </sheetView>
  </sheetViews>
  <sheetFormatPr baseColWidth="10" defaultColWidth="4.59765625" defaultRowHeight="14.25" x14ac:dyDescent="0.45"/>
  <cols>
    <col min="1" max="1" width="5.265625" bestFit="1" customWidth="1"/>
    <col min="2" max="3" width="3.265625" bestFit="1" customWidth="1"/>
    <col min="4" max="5" width="3.86328125" bestFit="1" customWidth="1"/>
    <col min="6" max="7" width="3.1328125" bestFit="1" customWidth="1"/>
    <col min="8" max="8" width="4.1328125" bestFit="1" customWidth="1"/>
    <col min="9" max="9" width="3.1328125" bestFit="1" customWidth="1"/>
    <col min="10" max="10" width="4.86328125" bestFit="1" customWidth="1"/>
    <col min="11" max="13" width="4.265625" bestFit="1" customWidth="1"/>
    <col min="14" max="14" width="4.86328125" bestFit="1" customWidth="1"/>
    <col min="15" max="15" width="3.265625" bestFit="1" customWidth="1"/>
    <col min="16" max="16" width="4.265625" bestFit="1" customWidth="1"/>
    <col min="17" max="18" width="4.86328125" bestFit="1" customWidth="1"/>
    <col min="19" max="19" width="13.86328125" customWidth="1"/>
    <col min="21" max="24" width="2.73046875" bestFit="1" customWidth="1"/>
    <col min="25" max="26" width="1.86328125" bestFit="1" customWidth="1"/>
    <col min="27" max="27" width="2.73046875" bestFit="1" customWidth="1"/>
    <col min="28" max="30" width="1.86328125" bestFit="1" customWidth="1"/>
    <col min="31" max="37" width="2.73046875" bestFit="1" customWidth="1"/>
  </cols>
  <sheetData>
    <row r="1" spans="2:41" x14ac:dyDescent="0.45">
      <c r="D1" s="18" t="s">
        <v>38</v>
      </c>
      <c r="E1" s="18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45</v>
      </c>
      <c r="L1" s="18" t="s">
        <v>46</v>
      </c>
      <c r="M1" s="18" t="s">
        <v>47</v>
      </c>
      <c r="N1" s="18" t="s">
        <v>48</v>
      </c>
      <c r="O1" s="18" t="s">
        <v>49</v>
      </c>
      <c r="P1" s="18" t="s">
        <v>50</v>
      </c>
      <c r="Q1" s="18" t="s">
        <v>51</v>
      </c>
      <c r="R1" s="18" t="s">
        <v>52</v>
      </c>
      <c r="V1">
        <v>1</v>
      </c>
      <c r="W1">
        <v>2</v>
      </c>
      <c r="X1">
        <v>3</v>
      </c>
      <c r="Y1">
        <v>4</v>
      </c>
      <c r="Z1">
        <v>5</v>
      </c>
      <c r="AA1">
        <v>6</v>
      </c>
      <c r="AB1">
        <v>7</v>
      </c>
      <c r="AC1">
        <v>8</v>
      </c>
      <c r="AD1">
        <v>9</v>
      </c>
      <c r="AE1">
        <v>10</v>
      </c>
      <c r="AF1">
        <v>11</v>
      </c>
      <c r="AG1">
        <v>12</v>
      </c>
      <c r="AH1">
        <v>13</v>
      </c>
      <c r="AI1">
        <v>14</v>
      </c>
      <c r="AJ1">
        <v>15</v>
      </c>
    </row>
    <row r="2" spans="2:41" x14ac:dyDescent="0.45">
      <c r="B2" s="18" t="s">
        <v>38</v>
      </c>
      <c r="C2" s="18" t="s">
        <v>50</v>
      </c>
      <c r="E2">
        <v>1</v>
      </c>
      <c r="F2">
        <v>1</v>
      </c>
      <c r="G2">
        <v>1</v>
      </c>
      <c r="H2">
        <v>1</v>
      </c>
      <c r="I2">
        <v>1</v>
      </c>
      <c r="K2">
        <v>2</v>
      </c>
      <c r="L2">
        <v>1</v>
      </c>
      <c r="M2">
        <v>3</v>
      </c>
      <c r="O2">
        <v>1</v>
      </c>
      <c r="P2">
        <v>3</v>
      </c>
      <c r="U2">
        <v>1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2</v>
      </c>
      <c r="AD2">
        <v>1</v>
      </c>
      <c r="AE2">
        <v>3</v>
      </c>
      <c r="AF2">
        <v>0</v>
      </c>
      <c r="AG2">
        <v>1</v>
      </c>
      <c r="AH2">
        <v>3</v>
      </c>
      <c r="AI2">
        <v>0</v>
      </c>
      <c r="AJ2">
        <v>0</v>
      </c>
    </row>
    <row r="3" spans="2:41" x14ac:dyDescent="0.45">
      <c r="B3" s="18" t="s">
        <v>39</v>
      </c>
      <c r="C3" s="18" t="s">
        <v>40</v>
      </c>
      <c r="D3">
        <v>2</v>
      </c>
      <c r="F3">
        <v>8</v>
      </c>
      <c r="G3">
        <v>1</v>
      </c>
      <c r="H3">
        <v>7</v>
      </c>
      <c r="I3">
        <v>2</v>
      </c>
      <c r="J3">
        <v>5</v>
      </c>
      <c r="K3">
        <v>6</v>
      </c>
      <c r="L3">
        <v>8</v>
      </c>
      <c r="M3">
        <v>4</v>
      </c>
      <c r="N3">
        <v>7</v>
      </c>
      <c r="O3">
        <v>3</v>
      </c>
      <c r="P3">
        <v>4</v>
      </c>
      <c r="Q3">
        <v>2</v>
      </c>
      <c r="R3">
        <v>5</v>
      </c>
    </row>
    <row r="4" spans="2:41" x14ac:dyDescent="0.45">
      <c r="B4" s="18" t="s">
        <v>40</v>
      </c>
      <c r="C4" s="18" t="s">
        <v>49</v>
      </c>
      <c r="D4">
        <v>2</v>
      </c>
      <c r="G4">
        <v>3</v>
      </c>
      <c r="H4">
        <v>9</v>
      </c>
      <c r="I4">
        <v>3</v>
      </c>
      <c r="J4">
        <v>6</v>
      </c>
      <c r="K4">
        <v>8</v>
      </c>
      <c r="L4">
        <v>8</v>
      </c>
      <c r="M4">
        <v>5</v>
      </c>
      <c r="N4">
        <v>9</v>
      </c>
      <c r="O4">
        <v>3</v>
      </c>
      <c r="P4">
        <v>5</v>
      </c>
      <c r="Q4">
        <v>2</v>
      </c>
      <c r="R4">
        <v>5</v>
      </c>
    </row>
    <row r="5" spans="2:41" x14ac:dyDescent="0.45">
      <c r="B5" s="18" t="s">
        <v>41</v>
      </c>
      <c r="C5" s="18" t="s">
        <v>39</v>
      </c>
      <c r="D5">
        <v>2</v>
      </c>
      <c r="E5">
        <v>4</v>
      </c>
      <c r="F5">
        <v>5</v>
      </c>
      <c r="H5">
        <v>4</v>
      </c>
      <c r="I5">
        <v>2</v>
      </c>
      <c r="J5">
        <v>5</v>
      </c>
      <c r="K5">
        <v>3</v>
      </c>
      <c r="L5">
        <v>6</v>
      </c>
      <c r="M5">
        <v>4</v>
      </c>
      <c r="N5">
        <v>5</v>
      </c>
      <c r="O5">
        <v>3</v>
      </c>
      <c r="P5">
        <v>2</v>
      </c>
      <c r="Q5">
        <v>2</v>
      </c>
      <c r="R5">
        <v>3</v>
      </c>
    </row>
    <row r="6" spans="2:41" x14ac:dyDescent="0.45">
      <c r="B6" s="18" t="s">
        <v>42</v>
      </c>
      <c r="C6" s="18" t="s">
        <v>43</v>
      </c>
      <c r="E6">
        <v>1</v>
      </c>
      <c r="F6">
        <v>1</v>
      </c>
      <c r="G6">
        <v>2</v>
      </c>
      <c r="I6">
        <v>1</v>
      </c>
      <c r="J6">
        <v>2</v>
      </c>
      <c r="L6">
        <v>2</v>
      </c>
      <c r="M6">
        <v>3</v>
      </c>
      <c r="N6">
        <v>2</v>
      </c>
    </row>
    <row r="7" spans="2:41" x14ac:dyDescent="0.45">
      <c r="B7" s="18" t="s">
        <v>43</v>
      </c>
      <c r="C7" s="18" t="s">
        <v>41</v>
      </c>
      <c r="E7">
        <v>3</v>
      </c>
      <c r="F7">
        <v>4</v>
      </c>
      <c r="G7">
        <v>2</v>
      </c>
      <c r="H7">
        <v>2</v>
      </c>
      <c r="J7">
        <v>3</v>
      </c>
      <c r="L7">
        <v>4</v>
      </c>
      <c r="M7">
        <v>3</v>
      </c>
      <c r="N7">
        <v>4</v>
      </c>
      <c r="O7">
        <v>1</v>
      </c>
      <c r="P7">
        <v>1</v>
      </c>
      <c r="Q7">
        <v>1</v>
      </c>
      <c r="R7">
        <v>2</v>
      </c>
    </row>
    <row r="8" spans="2:41" x14ac:dyDescent="0.45">
      <c r="B8" s="18" t="s">
        <v>44</v>
      </c>
      <c r="C8" s="18" t="s">
        <v>37</v>
      </c>
      <c r="D8">
        <v>6</v>
      </c>
      <c r="E8">
        <v>3</v>
      </c>
      <c r="F8">
        <v>2</v>
      </c>
      <c r="G8">
        <v>5</v>
      </c>
      <c r="H8">
        <v>11</v>
      </c>
      <c r="I8">
        <v>4</v>
      </c>
      <c r="K8">
        <v>8</v>
      </c>
      <c r="L8">
        <v>12</v>
      </c>
      <c r="M8">
        <v>5</v>
      </c>
      <c r="N8">
        <v>12</v>
      </c>
      <c r="O8">
        <v>2</v>
      </c>
      <c r="P8">
        <v>7</v>
      </c>
      <c r="Q8">
        <v>5</v>
      </c>
      <c r="R8">
        <v>5</v>
      </c>
      <c r="U8">
        <v>7</v>
      </c>
      <c r="V8">
        <v>2</v>
      </c>
      <c r="W8">
        <v>1</v>
      </c>
      <c r="X8">
        <v>2</v>
      </c>
      <c r="Y8">
        <v>1</v>
      </c>
      <c r="Z8">
        <v>1</v>
      </c>
      <c r="AA8">
        <v>0</v>
      </c>
      <c r="AB8">
        <v>0</v>
      </c>
      <c r="AC8">
        <v>0</v>
      </c>
      <c r="AD8">
        <v>2</v>
      </c>
      <c r="AE8">
        <v>0</v>
      </c>
      <c r="AF8">
        <v>3</v>
      </c>
      <c r="AG8">
        <v>2</v>
      </c>
      <c r="AH8">
        <v>1</v>
      </c>
      <c r="AI8">
        <v>2</v>
      </c>
      <c r="AJ8">
        <v>0</v>
      </c>
    </row>
    <row r="9" spans="2:41" x14ac:dyDescent="0.45">
      <c r="B9" s="18" t="s">
        <v>45</v>
      </c>
      <c r="C9" s="18" t="s">
        <v>47</v>
      </c>
      <c r="D9">
        <v>13</v>
      </c>
      <c r="E9">
        <v>10</v>
      </c>
      <c r="F9">
        <v>4</v>
      </c>
      <c r="G9">
        <v>4</v>
      </c>
      <c r="H9">
        <v>8</v>
      </c>
      <c r="I9">
        <v>3</v>
      </c>
      <c r="J9">
        <v>7</v>
      </c>
      <c r="L9">
        <v>2</v>
      </c>
      <c r="M9">
        <v>9</v>
      </c>
      <c r="N9">
        <v>1</v>
      </c>
      <c r="O9">
        <v>6</v>
      </c>
      <c r="P9">
        <v>7</v>
      </c>
      <c r="Q9">
        <v>2</v>
      </c>
      <c r="R9">
        <v>5</v>
      </c>
      <c r="U9">
        <v>8</v>
      </c>
      <c r="V9">
        <v>2</v>
      </c>
      <c r="W9">
        <v>1</v>
      </c>
      <c r="X9">
        <v>0</v>
      </c>
      <c r="Y9">
        <v>0</v>
      </c>
      <c r="Z9">
        <v>2</v>
      </c>
      <c r="AA9">
        <v>2</v>
      </c>
      <c r="AB9">
        <v>2</v>
      </c>
      <c r="AC9">
        <v>0</v>
      </c>
      <c r="AD9">
        <v>2</v>
      </c>
      <c r="AE9">
        <v>0</v>
      </c>
      <c r="AF9">
        <v>0</v>
      </c>
      <c r="AG9">
        <v>0</v>
      </c>
      <c r="AH9">
        <v>2</v>
      </c>
      <c r="AI9">
        <v>1</v>
      </c>
      <c r="AJ9">
        <v>2</v>
      </c>
    </row>
    <row r="10" spans="2:41" x14ac:dyDescent="0.45">
      <c r="B10" s="18" t="s">
        <v>46</v>
      </c>
      <c r="C10" s="18" t="s">
        <v>45</v>
      </c>
      <c r="D10">
        <v>11</v>
      </c>
      <c r="E10">
        <v>9</v>
      </c>
      <c r="F10">
        <v>4</v>
      </c>
      <c r="G10">
        <v>4</v>
      </c>
      <c r="H10">
        <v>6</v>
      </c>
      <c r="I10">
        <v>1</v>
      </c>
      <c r="J10">
        <v>5</v>
      </c>
      <c r="K10">
        <v>7</v>
      </c>
      <c r="M10">
        <v>9</v>
      </c>
      <c r="N10">
        <v>1</v>
      </c>
      <c r="O10">
        <v>6</v>
      </c>
      <c r="P10">
        <v>5</v>
      </c>
      <c r="Q10">
        <v>1</v>
      </c>
      <c r="R10">
        <v>3</v>
      </c>
      <c r="U10">
        <v>9</v>
      </c>
      <c r="V10">
        <v>2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1</v>
      </c>
      <c r="AG10">
        <v>2</v>
      </c>
      <c r="AH10">
        <v>1</v>
      </c>
      <c r="AI10">
        <v>0</v>
      </c>
      <c r="AJ10">
        <v>2</v>
      </c>
    </row>
    <row r="11" spans="2:41" x14ac:dyDescent="0.45">
      <c r="B11" s="18" t="s">
        <v>47</v>
      </c>
      <c r="C11" s="18" t="s">
        <v>37</v>
      </c>
      <c r="D11">
        <v>15</v>
      </c>
      <c r="E11">
        <v>13</v>
      </c>
      <c r="F11">
        <v>4</v>
      </c>
      <c r="G11">
        <v>5</v>
      </c>
      <c r="H11">
        <v>10</v>
      </c>
      <c r="I11">
        <v>4</v>
      </c>
      <c r="J11">
        <v>9</v>
      </c>
      <c r="K11">
        <v>1</v>
      </c>
      <c r="L11">
        <v>4</v>
      </c>
      <c r="N11">
        <v>1</v>
      </c>
      <c r="O11">
        <v>7</v>
      </c>
      <c r="P11">
        <v>10</v>
      </c>
      <c r="Q11">
        <v>3</v>
      </c>
      <c r="R11">
        <v>5</v>
      </c>
      <c r="U11">
        <v>10</v>
      </c>
      <c r="V11">
        <v>2</v>
      </c>
      <c r="W11">
        <v>3</v>
      </c>
      <c r="X11">
        <v>0</v>
      </c>
      <c r="Y11">
        <v>1</v>
      </c>
      <c r="Z11">
        <v>2</v>
      </c>
      <c r="AA11">
        <v>1</v>
      </c>
      <c r="AB11">
        <v>2</v>
      </c>
      <c r="AC11">
        <v>1</v>
      </c>
      <c r="AD11">
        <v>2</v>
      </c>
      <c r="AE11">
        <v>0</v>
      </c>
      <c r="AF11">
        <v>0</v>
      </c>
      <c r="AG11">
        <v>1</v>
      </c>
      <c r="AH11">
        <v>3</v>
      </c>
      <c r="AI11">
        <v>1</v>
      </c>
      <c r="AJ11">
        <v>0</v>
      </c>
    </row>
    <row r="12" spans="2:41" x14ac:dyDescent="0.45">
      <c r="B12" s="18" t="s">
        <v>48</v>
      </c>
      <c r="C12" s="18" t="s">
        <v>46</v>
      </c>
      <c r="D12">
        <v>9</v>
      </c>
      <c r="E12">
        <v>8</v>
      </c>
      <c r="F12">
        <v>4</v>
      </c>
      <c r="G12">
        <v>3</v>
      </c>
      <c r="H12">
        <v>6</v>
      </c>
      <c r="I12">
        <v>1</v>
      </c>
      <c r="J12">
        <v>5</v>
      </c>
      <c r="K12">
        <v>7</v>
      </c>
      <c r="L12">
        <v>9</v>
      </c>
      <c r="M12">
        <v>7</v>
      </c>
      <c r="O12">
        <v>4</v>
      </c>
      <c r="P12">
        <v>4</v>
      </c>
      <c r="Q12">
        <v>1</v>
      </c>
      <c r="R12">
        <v>1</v>
      </c>
      <c r="U12">
        <v>11</v>
      </c>
      <c r="V12">
        <v>3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  <c r="AC12">
        <v>2</v>
      </c>
      <c r="AD12">
        <v>1</v>
      </c>
      <c r="AE12">
        <v>2</v>
      </c>
      <c r="AF12">
        <v>0</v>
      </c>
      <c r="AG12">
        <v>0</v>
      </c>
      <c r="AH12">
        <v>2</v>
      </c>
      <c r="AI12">
        <v>0</v>
      </c>
      <c r="AJ12">
        <v>1</v>
      </c>
    </row>
    <row r="13" spans="2:41" x14ac:dyDescent="0.45">
      <c r="B13" s="18" t="s">
        <v>49</v>
      </c>
      <c r="C13" s="18" t="s">
        <v>44</v>
      </c>
      <c r="D13">
        <v>4</v>
      </c>
      <c r="E13">
        <v>2</v>
      </c>
      <c r="G13">
        <v>4</v>
      </c>
      <c r="H13">
        <v>10</v>
      </c>
      <c r="I13">
        <v>4</v>
      </c>
      <c r="J13">
        <v>7</v>
      </c>
      <c r="K13">
        <v>8</v>
      </c>
      <c r="L13">
        <v>10</v>
      </c>
      <c r="M13">
        <v>5</v>
      </c>
      <c r="N13">
        <v>9</v>
      </c>
      <c r="P13">
        <v>6</v>
      </c>
      <c r="Q13">
        <v>3</v>
      </c>
      <c r="R13">
        <v>5</v>
      </c>
      <c r="U13">
        <v>12</v>
      </c>
      <c r="V13">
        <v>2</v>
      </c>
      <c r="W13">
        <v>2</v>
      </c>
      <c r="X13">
        <v>0</v>
      </c>
      <c r="Y13">
        <v>1</v>
      </c>
      <c r="Z13">
        <v>1</v>
      </c>
      <c r="AA13">
        <v>1</v>
      </c>
      <c r="AB13">
        <v>1</v>
      </c>
      <c r="AC13">
        <v>0</v>
      </c>
      <c r="AD13">
        <v>2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</row>
    <row r="14" spans="2:41" x14ac:dyDescent="0.45">
      <c r="B14" s="18" t="s">
        <v>50</v>
      </c>
      <c r="C14" s="18" t="s">
        <v>51</v>
      </c>
      <c r="D14">
        <v>3</v>
      </c>
      <c r="E14">
        <v>3</v>
      </c>
      <c r="F14">
        <v>3</v>
      </c>
      <c r="G14">
        <v>1</v>
      </c>
      <c r="H14">
        <v>4</v>
      </c>
      <c r="I14">
        <v>1</v>
      </c>
      <c r="J14">
        <v>1</v>
      </c>
      <c r="K14">
        <v>3</v>
      </c>
      <c r="L14">
        <v>4</v>
      </c>
      <c r="M14">
        <v>3</v>
      </c>
      <c r="N14">
        <v>2</v>
      </c>
      <c r="O14">
        <v>1</v>
      </c>
      <c r="Q14">
        <v>1</v>
      </c>
      <c r="R14">
        <v>2</v>
      </c>
      <c r="U14">
        <v>13</v>
      </c>
      <c r="V14">
        <v>3</v>
      </c>
      <c r="W14">
        <v>2</v>
      </c>
      <c r="X14">
        <v>2</v>
      </c>
      <c r="Y14">
        <v>0</v>
      </c>
      <c r="Z14">
        <v>3</v>
      </c>
      <c r="AA14">
        <v>0</v>
      </c>
      <c r="AB14">
        <v>1</v>
      </c>
      <c r="AC14">
        <v>1</v>
      </c>
      <c r="AD14">
        <v>3</v>
      </c>
      <c r="AE14">
        <v>0</v>
      </c>
      <c r="AF14">
        <v>2</v>
      </c>
      <c r="AG14">
        <v>0</v>
      </c>
      <c r="AH14">
        <v>0</v>
      </c>
      <c r="AI14">
        <v>1</v>
      </c>
      <c r="AJ14">
        <v>2</v>
      </c>
    </row>
    <row r="15" spans="2:41" x14ac:dyDescent="0.45">
      <c r="B15" s="18" t="s">
        <v>51</v>
      </c>
      <c r="C15" s="18" t="s">
        <v>52</v>
      </c>
      <c r="D15">
        <v>4</v>
      </c>
      <c r="E15">
        <v>5</v>
      </c>
      <c r="F15">
        <v>4</v>
      </c>
      <c r="G15">
        <v>3</v>
      </c>
      <c r="H15">
        <v>5</v>
      </c>
      <c r="I15">
        <v>1</v>
      </c>
      <c r="J15">
        <v>4</v>
      </c>
      <c r="K15">
        <v>3</v>
      </c>
      <c r="L15">
        <v>6</v>
      </c>
      <c r="M15">
        <v>4</v>
      </c>
      <c r="N15">
        <v>4</v>
      </c>
      <c r="O15">
        <v>2</v>
      </c>
      <c r="R15">
        <v>5</v>
      </c>
      <c r="U15">
        <v>14</v>
      </c>
      <c r="V15">
        <v>1</v>
      </c>
      <c r="W15">
        <v>2</v>
      </c>
      <c r="X15">
        <v>1</v>
      </c>
      <c r="Y15">
        <v>2</v>
      </c>
      <c r="Z15">
        <v>1</v>
      </c>
      <c r="AA15">
        <v>0</v>
      </c>
      <c r="AB15">
        <v>3</v>
      </c>
      <c r="AC15">
        <v>0</v>
      </c>
      <c r="AD15">
        <v>2</v>
      </c>
      <c r="AE15">
        <v>1</v>
      </c>
      <c r="AF15">
        <v>2</v>
      </c>
      <c r="AG15">
        <v>1</v>
      </c>
      <c r="AH15">
        <v>0</v>
      </c>
      <c r="AI15">
        <v>0</v>
      </c>
      <c r="AJ15">
        <v>3</v>
      </c>
      <c r="AO15">
        <v>25</v>
      </c>
    </row>
    <row r="16" spans="2:41" x14ac:dyDescent="0.45">
      <c r="B16" s="18" t="s">
        <v>52</v>
      </c>
      <c r="C16" s="18" t="s">
        <v>48</v>
      </c>
      <c r="D16">
        <v>6</v>
      </c>
      <c r="E16">
        <v>7</v>
      </c>
      <c r="F16">
        <v>4</v>
      </c>
      <c r="G16">
        <v>3</v>
      </c>
      <c r="H16">
        <v>5</v>
      </c>
      <c r="I16">
        <v>1</v>
      </c>
      <c r="J16">
        <v>4</v>
      </c>
      <c r="K16">
        <v>5</v>
      </c>
      <c r="L16">
        <v>8</v>
      </c>
      <c r="M16">
        <v>5</v>
      </c>
      <c r="N16">
        <v>5</v>
      </c>
      <c r="O16">
        <v>4</v>
      </c>
      <c r="P16">
        <v>2</v>
      </c>
      <c r="Q16">
        <v>1</v>
      </c>
      <c r="U16">
        <v>15</v>
      </c>
      <c r="V16">
        <v>2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2</v>
      </c>
      <c r="AE16">
        <v>1</v>
      </c>
      <c r="AF16">
        <v>1</v>
      </c>
      <c r="AG16">
        <v>2</v>
      </c>
      <c r="AH16">
        <v>2</v>
      </c>
      <c r="AI16">
        <v>1</v>
      </c>
      <c r="AJ16">
        <v>0</v>
      </c>
      <c r="AO16">
        <v>87</v>
      </c>
    </row>
    <row r="17" spans="1:41" x14ac:dyDescent="0.45">
      <c r="AO17">
        <v>39</v>
      </c>
    </row>
    <row r="18" spans="1:41" ht="14.25" customHeight="1" x14ac:dyDescent="0.45">
      <c r="A18" s="49" t="s">
        <v>56</v>
      </c>
      <c r="B18" s="50"/>
      <c r="C18" s="51"/>
      <c r="D18" s="44" t="s">
        <v>53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5"/>
      <c r="S18" s="48" t="s">
        <v>55</v>
      </c>
      <c r="AO18">
        <v>91</v>
      </c>
    </row>
    <row r="19" spans="1:41" ht="15.75" x14ac:dyDescent="0.5">
      <c r="A19" s="52"/>
      <c r="B19" s="53"/>
      <c r="C19" s="54"/>
      <c r="D19" s="21">
        <v>1</v>
      </c>
      <c r="E19" s="21">
        <v>2</v>
      </c>
      <c r="F19" s="21">
        <v>3</v>
      </c>
      <c r="G19" s="21">
        <v>4</v>
      </c>
      <c r="H19" s="21">
        <v>5</v>
      </c>
      <c r="I19" s="21">
        <v>6</v>
      </c>
      <c r="J19" s="21">
        <v>7</v>
      </c>
      <c r="K19" s="21">
        <v>8</v>
      </c>
      <c r="L19" s="21">
        <v>9</v>
      </c>
      <c r="M19" s="21">
        <v>10</v>
      </c>
      <c r="N19" s="21">
        <v>11</v>
      </c>
      <c r="O19" s="21">
        <v>12</v>
      </c>
      <c r="P19" s="21">
        <v>13</v>
      </c>
      <c r="Q19" s="21">
        <v>14</v>
      </c>
      <c r="R19" s="21">
        <v>15</v>
      </c>
      <c r="S19" s="48"/>
      <c r="V19">
        <v>1</v>
      </c>
      <c r="W19">
        <v>2</v>
      </c>
      <c r="X19">
        <v>3</v>
      </c>
      <c r="Y19">
        <v>4</v>
      </c>
      <c r="Z19">
        <v>5</v>
      </c>
      <c r="AA19">
        <v>6</v>
      </c>
      <c r="AB19">
        <v>7</v>
      </c>
      <c r="AC19">
        <v>8</v>
      </c>
      <c r="AD19">
        <v>9</v>
      </c>
      <c r="AE19">
        <v>10</v>
      </c>
      <c r="AF19">
        <v>11</v>
      </c>
      <c r="AG19">
        <v>12</v>
      </c>
      <c r="AH19">
        <v>13</v>
      </c>
      <c r="AI19">
        <v>14</v>
      </c>
      <c r="AJ19">
        <v>15</v>
      </c>
    </row>
    <row r="20" spans="1:41" ht="16.149999999999999" thickBot="1" x14ac:dyDescent="0.55000000000000004">
      <c r="A20" s="46" t="s">
        <v>54</v>
      </c>
      <c r="B20" s="22">
        <v>0</v>
      </c>
      <c r="C20" s="22">
        <v>5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4">
        <f>SUM(D20:R20)</f>
        <v>0</v>
      </c>
      <c r="U20">
        <v>5</v>
      </c>
      <c r="V20">
        <v>0</v>
      </c>
      <c r="W20">
        <v>1</v>
      </c>
      <c r="X20">
        <v>1</v>
      </c>
      <c r="Y20">
        <v>2</v>
      </c>
      <c r="Z20">
        <v>0</v>
      </c>
      <c r="AA20">
        <v>1</v>
      </c>
      <c r="AB20">
        <v>2</v>
      </c>
      <c r="AC20">
        <v>0</v>
      </c>
      <c r="AD20">
        <v>2</v>
      </c>
      <c r="AE20">
        <v>3</v>
      </c>
      <c r="AF20">
        <v>2</v>
      </c>
      <c r="AG20">
        <v>0</v>
      </c>
      <c r="AH20">
        <v>0</v>
      </c>
      <c r="AI20">
        <v>0</v>
      </c>
      <c r="AJ20">
        <v>0</v>
      </c>
    </row>
    <row r="21" spans="1:41" ht="16.149999999999999" thickBot="1" x14ac:dyDescent="0.55000000000000004">
      <c r="A21" s="46"/>
      <c r="B21" s="22">
        <v>5</v>
      </c>
      <c r="C21" s="22">
        <v>6</v>
      </c>
      <c r="D21" s="23">
        <f t="shared" ref="D21:J21" si="0">V20</f>
        <v>0</v>
      </c>
      <c r="E21" s="23">
        <f t="shared" si="0"/>
        <v>1</v>
      </c>
      <c r="F21" s="23">
        <f t="shared" si="0"/>
        <v>1</v>
      </c>
      <c r="G21" s="23">
        <f t="shared" si="0"/>
        <v>2</v>
      </c>
      <c r="H21" s="23">
        <f t="shared" si="0"/>
        <v>0</v>
      </c>
      <c r="I21" s="37">
        <f t="shared" si="0"/>
        <v>1</v>
      </c>
      <c r="J21" s="23">
        <f t="shared" si="0"/>
        <v>2</v>
      </c>
      <c r="K21" s="23">
        <f t="shared" ref="K21:R21" si="1">AC20</f>
        <v>0</v>
      </c>
      <c r="L21" s="23">
        <f t="shared" si="1"/>
        <v>2</v>
      </c>
      <c r="M21" s="23">
        <f t="shared" si="1"/>
        <v>3</v>
      </c>
      <c r="N21" s="23">
        <f t="shared" si="1"/>
        <v>2</v>
      </c>
      <c r="O21" s="23">
        <f t="shared" si="1"/>
        <v>0</v>
      </c>
      <c r="P21" s="23">
        <f t="shared" si="1"/>
        <v>0</v>
      </c>
      <c r="Q21" s="23">
        <f t="shared" si="1"/>
        <v>0</v>
      </c>
      <c r="R21" s="23">
        <f t="shared" si="1"/>
        <v>0</v>
      </c>
      <c r="S21" s="25">
        <f t="shared" ref="S21:S27" si="2">SUM(D21:R21)</f>
        <v>14</v>
      </c>
      <c r="U21">
        <v>6</v>
      </c>
      <c r="V21">
        <v>0</v>
      </c>
      <c r="W21">
        <v>2</v>
      </c>
      <c r="X21">
        <v>3</v>
      </c>
      <c r="Y21">
        <v>0</v>
      </c>
      <c r="Z21">
        <v>2</v>
      </c>
      <c r="AA21">
        <v>0</v>
      </c>
      <c r="AB21">
        <v>1</v>
      </c>
      <c r="AC21">
        <v>0</v>
      </c>
      <c r="AD21">
        <v>2</v>
      </c>
      <c r="AE21">
        <v>0</v>
      </c>
      <c r="AF21">
        <v>2</v>
      </c>
      <c r="AG21">
        <v>1</v>
      </c>
      <c r="AH21">
        <v>1</v>
      </c>
      <c r="AI21">
        <v>1</v>
      </c>
      <c r="AJ21">
        <v>2</v>
      </c>
    </row>
    <row r="22" spans="1:41" ht="16.149999999999999" thickBot="1" x14ac:dyDescent="0.55000000000000004">
      <c r="A22" s="46"/>
      <c r="B22" s="22">
        <v>6</v>
      </c>
      <c r="C22" s="22">
        <v>4</v>
      </c>
      <c r="D22" s="23">
        <f>D21+V21</f>
        <v>0</v>
      </c>
      <c r="E22" s="23">
        <f>E21+W21</f>
        <v>3</v>
      </c>
      <c r="F22" s="23">
        <f>F21+X21</f>
        <v>4</v>
      </c>
      <c r="G22" s="37">
        <f>G21+Y21</f>
        <v>2</v>
      </c>
      <c r="H22" s="23">
        <f>H21+Z21</f>
        <v>2</v>
      </c>
      <c r="I22" s="23">
        <v>0</v>
      </c>
      <c r="J22" s="23">
        <f t="shared" ref="J22:R25" si="3">J21+AB21</f>
        <v>3</v>
      </c>
      <c r="K22" s="23">
        <f t="shared" si="3"/>
        <v>0</v>
      </c>
      <c r="L22" s="23">
        <f t="shared" si="3"/>
        <v>4</v>
      </c>
      <c r="M22" s="23">
        <f t="shared" si="3"/>
        <v>3</v>
      </c>
      <c r="N22" s="23">
        <f t="shared" si="3"/>
        <v>4</v>
      </c>
      <c r="O22" s="23">
        <f t="shared" si="3"/>
        <v>1</v>
      </c>
      <c r="P22" s="23">
        <f t="shared" si="3"/>
        <v>1</v>
      </c>
      <c r="Q22" s="23">
        <f t="shared" si="3"/>
        <v>1</v>
      </c>
      <c r="R22" s="23">
        <f t="shared" si="3"/>
        <v>2</v>
      </c>
      <c r="S22" s="25">
        <f t="shared" si="2"/>
        <v>30</v>
      </c>
      <c r="U22">
        <v>4</v>
      </c>
      <c r="V22">
        <v>2</v>
      </c>
      <c r="W22">
        <v>1</v>
      </c>
      <c r="X22">
        <v>1</v>
      </c>
      <c r="Y22">
        <v>0</v>
      </c>
      <c r="Z22">
        <v>2</v>
      </c>
      <c r="AA22">
        <v>2</v>
      </c>
      <c r="AB22">
        <v>2</v>
      </c>
      <c r="AC22">
        <v>3</v>
      </c>
      <c r="AD22">
        <v>2</v>
      </c>
      <c r="AE22">
        <v>1</v>
      </c>
      <c r="AF22">
        <v>1</v>
      </c>
      <c r="AG22">
        <v>2</v>
      </c>
      <c r="AH22">
        <v>1</v>
      </c>
      <c r="AI22">
        <v>1</v>
      </c>
      <c r="AJ22">
        <v>1</v>
      </c>
    </row>
    <row r="23" spans="1:41" ht="16.149999999999999" thickBot="1" x14ac:dyDescent="0.55000000000000004">
      <c r="A23" s="46"/>
      <c r="B23" s="22">
        <v>4</v>
      </c>
      <c r="C23" s="22">
        <v>2</v>
      </c>
      <c r="D23" s="23">
        <f>D22+V22</f>
        <v>2</v>
      </c>
      <c r="E23" s="37">
        <f>E22+W22</f>
        <v>4</v>
      </c>
      <c r="F23" s="23">
        <f>F22+X22</f>
        <v>5</v>
      </c>
      <c r="G23" s="23">
        <v>0</v>
      </c>
      <c r="H23" s="23">
        <f t="shared" ref="H23:I27" si="4">H22+Z22</f>
        <v>4</v>
      </c>
      <c r="I23" s="23">
        <f t="shared" si="4"/>
        <v>2</v>
      </c>
      <c r="J23" s="23">
        <f t="shared" si="3"/>
        <v>5</v>
      </c>
      <c r="K23" s="23">
        <f t="shared" si="3"/>
        <v>3</v>
      </c>
      <c r="L23" s="23">
        <f t="shared" si="3"/>
        <v>6</v>
      </c>
      <c r="M23" s="23">
        <f t="shared" si="3"/>
        <v>4</v>
      </c>
      <c r="N23" s="23">
        <f t="shared" si="3"/>
        <v>5</v>
      </c>
      <c r="O23" s="23">
        <f t="shared" si="3"/>
        <v>3</v>
      </c>
      <c r="P23" s="23">
        <f t="shared" si="3"/>
        <v>2</v>
      </c>
      <c r="Q23" s="23">
        <f t="shared" si="3"/>
        <v>2</v>
      </c>
      <c r="R23" s="23">
        <f t="shared" si="3"/>
        <v>3</v>
      </c>
      <c r="S23" s="25">
        <f t="shared" si="2"/>
        <v>50</v>
      </c>
      <c r="U23">
        <v>2</v>
      </c>
      <c r="V23">
        <v>0</v>
      </c>
      <c r="W23">
        <v>0</v>
      </c>
      <c r="X23">
        <v>3</v>
      </c>
      <c r="Y23">
        <v>1</v>
      </c>
      <c r="Z23">
        <v>3</v>
      </c>
      <c r="AA23">
        <v>0</v>
      </c>
      <c r="AB23">
        <v>0</v>
      </c>
      <c r="AC23">
        <v>3</v>
      </c>
      <c r="AD23">
        <v>2</v>
      </c>
      <c r="AE23">
        <v>0</v>
      </c>
      <c r="AF23">
        <v>2</v>
      </c>
      <c r="AG23">
        <v>0</v>
      </c>
      <c r="AH23">
        <v>2</v>
      </c>
      <c r="AI23">
        <v>0</v>
      </c>
      <c r="AJ23">
        <v>2</v>
      </c>
    </row>
    <row r="24" spans="1:41" ht="16.149999999999999" thickBot="1" x14ac:dyDescent="0.55000000000000004">
      <c r="A24" s="46"/>
      <c r="B24" s="22">
        <v>2</v>
      </c>
      <c r="C24" s="22">
        <v>3</v>
      </c>
      <c r="D24" s="23">
        <f>D23+V23</f>
        <v>2</v>
      </c>
      <c r="E24" s="23">
        <v>0</v>
      </c>
      <c r="F24" s="37">
        <f>F23+X23</f>
        <v>8</v>
      </c>
      <c r="G24" s="23">
        <f>G23+Y23</f>
        <v>1</v>
      </c>
      <c r="H24" s="23">
        <f t="shared" si="4"/>
        <v>7</v>
      </c>
      <c r="I24" s="23">
        <f t="shared" si="4"/>
        <v>2</v>
      </c>
      <c r="J24" s="23">
        <f t="shared" si="3"/>
        <v>5</v>
      </c>
      <c r="K24" s="23">
        <f t="shared" si="3"/>
        <v>6</v>
      </c>
      <c r="L24" s="23">
        <f t="shared" si="3"/>
        <v>8</v>
      </c>
      <c r="M24" s="23">
        <f t="shared" si="3"/>
        <v>4</v>
      </c>
      <c r="N24" s="23">
        <f t="shared" si="3"/>
        <v>7</v>
      </c>
      <c r="O24" s="23">
        <f t="shared" si="3"/>
        <v>3</v>
      </c>
      <c r="P24" s="23">
        <f t="shared" si="3"/>
        <v>4</v>
      </c>
      <c r="Q24" s="23">
        <f t="shared" si="3"/>
        <v>2</v>
      </c>
      <c r="R24" s="23">
        <f t="shared" si="3"/>
        <v>5</v>
      </c>
      <c r="S24" s="25">
        <f t="shared" si="2"/>
        <v>64</v>
      </c>
      <c r="U24">
        <v>3</v>
      </c>
      <c r="V24">
        <v>0</v>
      </c>
      <c r="W24">
        <v>0</v>
      </c>
      <c r="X24">
        <v>0</v>
      </c>
      <c r="Y24">
        <v>2</v>
      </c>
      <c r="Z24">
        <v>2</v>
      </c>
      <c r="AA24">
        <v>1</v>
      </c>
      <c r="AB24">
        <v>1</v>
      </c>
      <c r="AC24">
        <v>2</v>
      </c>
      <c r="AD24">
        <v>0</v>
      </c>
      <c r="AE24">
        <v>1</v>
      </c>
      <c r="AF24">
        <v>2</v>
      </c>
      <c r="AG24">
        <v>0</v>
      </c>
      <c r="AH24">
        <v>1</v>
      </c>
      <c r="AI24">
        <v>0</v>
      </c>
      <c r="AJ24">
        <v>0</v>
      </c>
    </row>
    <row r="25" spans="1:41" ht="16.149999999999999" thickBot="1" x14ac:dyDescent="0.55000000000000004">
      <c r="A25" s="46"/>
      <c r="B25" s="22">
        <v>3</v>
      </c>
      <c r="C25" s="22">
        <v>12</v>
      </c>
      <c r="D25" s="23">
        <f>D24+V24</f>
        <v>2</v>
      </c>
      <c r="E25" s="23">
        <f>E24+W24</f>
        <v>0</v>
      </c>
      <c r="F25" s="23">
        <v>0</v>
      </c>
      <c r="G25" s="23">
        <f>G24+Y24</f>
        <v>3</v>
      </c>
      <c r="H25" s="23">
        <f t="shared" si="4"/>
        <v>9</v>
      </c>
      <c r="I25" s="23">
        <f t="shared" si="4"/>
        <v>3</v>
      </c>
      <c r="J25" s="23">
        <f t="shared" si="3"/>
        <v>6</v>
      </c>
      <c r="K25" s="23">
        <f t="shared" si="3"/>
        <v>8</v>
      </c>
      <c r="L25" s="23">
        <f t="shared" si="3"/>
        <v>8</v>
      </c>
      <c r="M25" s="23">
        <f t="shared" si="3"/>
        <v>5</v>
      </c>
      <c r="N25" s="23">
        <f t="shared" si="3"/>
        <v>9</v>
      </c>
      <c r="O25" s="37">
        <f t="shared" si="3"/>
        <v>3</v>
      </c>
      <c r="P25" s="23">
        <f t="shared" si="3"/>
        <v>5</v>
      </c>
      <c r="Q25" s="23">
        <f t="shared" si="3"/>
        <v>2</v>
      </c>
      <c r="R25" s="23">
        <f t="shared" si="3"/>
        <v>5</v>
      </c>
      <c r="S25" s="25">
        <f t="shared" si="2"/>
        <v>68</v>
      </c>
      <c r="U25">
        <v>12</v>
      </c>
      <c r="V25">
        <v>2</v>
      </c>
      <c r="W25">
        <v>2</v>
      </c>
      <c r="X25">
        <v>0</v>
      </c>
      <c r="Y25">
        <v>1</v>
      </c>
      <c r="Z25">
        <v>1</v>
      </c>
      <c r="AA25">
        <v>1</v>
      </c>
      <c r="AB25">
        <v>1</v>
      </c>
      <c r="AC25">
        <v>0</v>
      </c>
      <c r="AD25">
        <v>2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</row>
    <row r="26" spans="1:41" ht="16.149999999999999" thickBot="1" x14ac:dyDescent="0.55000000000000004">
      <c r="A26" s="46"/>
      <c r="B26" s="22">
        <v>12</v>
      </c>
      <c r="C26" s="22">
        <v>7</v>
      </c>
      <c r="D26" s="23">
        <f>D25+V25</f>
        <v>4</v>
      </c>
      <c r="E26" s="23">
        <f>E25+W25</f>
        <v>2</v>
      </c>
      <c r="F26" s="23">
        <f>F25+X25</f>
        <v>0</v>
      </c>
      <c r="G26" s="23">
        <f>G25+Y25</f>
        <v>4</v>
      </c>
      <c r="H26" s="23">
        <f t="shared" si="4"/>
        <v>10</v>
      </c>
      <c r="I26" s="23">
        <f t="shared" si="4"/>
        <v>4</v>
      </c>
      <c r="J26" s="37">
        <f>J25+AB25</f>
        <v>7</v>
      </c>
      <c r="K26" s="23">
        <f>K25+AC25</f>
        <v>8</v>
      </c>
      <c r="L26" s="23">
        <f>L25+AD25</f>
        <v>10</v>
      </c>
      <c r="M26" s="23">
        <f>M25+AE25</f>
        <v>5</v>
      </c>
      <c r="N26" s="23">
        <f>N25+AF25</f>
        <v>9</v>
      </c>
      <c r="O26" s="23">
        <v>0</v>
      </c>
      <c r="P26" s="23">
        <f t="shared" ref="P26:R27" si="5">P25+AH25</f>
        <v>6</v>
      </c>
      <c r="Q26" s="23">
        <f t="shared" si="5"/>
        <v>3</v>
      </c>
      <c r="R26" s="23">
        <f t="shared" si="5"/>
        <v>5</v>
      </c>
      <c r="S26" s="25">
        <f t="shared" si="2"/>
        <v>77</v>
      </c>
      <c r="U26">
        <v>7</v>
      </c>
      <c r="V26">
        <v>2</v>
      </c>
      <c r="W26">
        <v>1</v>
      </c>
      <c r="X26">
        <v>2</v>
      </c>
      <c r="Y26">
        <v>1</v>
      </c>
      <c r="Z26">
        <v>1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3</v>
      </c>
      <c r="AG26">
        <v>2</v>
      </c>
      <c r="AH26">
        <v>1</v>
      </c>
      <c r="AI26">
        <v>2</v>
      </c>
      <c r="AJ26">
        <v>0</v>
      </c>
    </row>
    <row r="27" spans="1:41" ht="15.75" x14ac:dyDescent="0.5">
      <c r="A27" s="47"/>
      <c r="B27" s="22">
        <v>7</v>
      </c>
      <c r="C27" s="22">
        <v>0</v>
      </c>
      <c r="D27" s="23">
        <f>D26+V26</f>
        <v>6</v>
      </c>
      <c r="E27" s="23">
        <f>E26+W26</f>
        <v>3</v>
      </c>
      <c r="F27" s="23">
        <f>F26+X26</f>
        <v>2</v>
      </c>
      <c r="G27" s="23">
        <f>G26+Y26</f>
        <v>5</v>
      </c>
      <c r="H27" s="23">
        <f t="shared" si="4"/>
        <v>11</v>
      </c>
      <c r="I27" s="23">
        <f t="shared" si="4"/>
        <v>4</v>
      </c>
      <c r="J27" s="23">
        <v>0</v>
      </c>
      <c r="K27" s="23">
        <f>K26+AC26</f>
        <v>8</v>
      </c>
      <c r="L27" s="23">
        <f>L26+AD26</f>
        <v>12</v>
      </c>
      <c r="M27" s="23">
        <f>M26+AE26</f>
        <v>5</v>
      </c>
      <c r="N27" s="23">
        <f>N26+AF26</f>
        <v>12</v>
      </c>
      <c r="O27" s="23">
        <f>O26+AG26</f>
        <v>2</v>
      </c>
      <c r="P27" s="23">
        <f t="shared" si="5"/>
        <v>7</v>
      </c>
      <c r="Q27" s="23">
        <f t="shared" si="5"/>
        <v>5</v>
      </c>
      <c r="R27" s="23">
        <f t="shared" si="5"/>
        <v>5</v>
      </c>
      <c r="S27" s="26">
        <f t="shared" si="2"/>
        <v>87</v>
      </c>
    </row>
    <row r="30" spans="1:41" x14ac:dyDescent="0.45">
      <c r="A30" s="49" t="s">
        <v>57</v>
      </c>
      <c r="B30" s="50"/>
      <c r="C30" s="51"/>
      <c r="D30" s="44" t="s">
        <v>53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5"/>
      <c r="S30" s="48" t="s">
        <v>55</v>
      </c>
    </row>
    <row r="31" spans="1:41" ht="15.75" x14ac:dyDescent="0.5">
      <c r="A31" s="52"/>
      <c r="B31" s="53"/>
      <c r="C31" s="54"/>
      <c r="D31" s="21">
        <v>1</v>
      </c>
      <c r="E31" s="21">
        <v>2</v>
      </c>
      <c r="F31" s="21">
        <v>3</v>
      </c>
      <c r="G31" s="21">
        <v>4</v>
      </c>
      <c r="H31" s="21">
        <v>5</v>
      </c>
      <c r="I31" s="21">
        <v>6</v>
      </c>
      <c r="J31" s="21">
        <v>7</v>
      </c>
      <c r="K31" s="21">
        <v>8</v>
      </c>
      <c r="L31" s="21">
        <v>9</v>
      </c>
      <c r="M31" s="21">
        <v>10</v>
      </c>
      <c r="N31" s="21">
        <v>11</v>
      </c>
      <c r="O31" s="21">
        <v>12</v>
      </c>
      <c r="P31" s="21">
        <v>13</v>
      </c>
      <c r="Q31" s="21">
        <v>14</v>
      </c>
      <c r="R31" s="21">
        <v>15</v>
      </c>
      <c r="S31" s="48"/>
      <c r="W31" s="18" t="s">
        <v>38</v>
      </c>
      <c r="X31" s="18" t="s">
        <v>39</v>
      </c>
      <c r="Y31" s="18" t="s">
        <v>40</v>
      </c>
      <c r="Z31" s="18" t="s">
        <v>41</v>
      </c>
      <c r="AA31" s="18" t="s">
        <v>42</v>
      </c>
      <c r="AB31" s="18" t="s">
        <v>43</v>
      </c>
      <c r="AC31" s="18" t="s">
        <v>44</v>
      </c>
      <c r="AD31" s="18" t="s">
        <v>45</v>
      </c>
      <c r="AE31" s="18" t="s">
        <v>46</v>
      </c>
      <c r="AF31" s="18" t="s">
        <v>47</v>
      </c>
      <c r="AG31" s="18" t="s">
        <v>48</v>
      </c>
      <c r="AH31" s="18" t="s">
        <v>49</v>
      </c>
      <c r="AI31" s="18" t="s">
        <v>50</v>
      </c>
      <c r="AJ31" s="18" t="s">
        <v>51</v>
      </c>
      <c r="AK31" s="18" t="s">
        <v>52</v>
      </c>
    </row>
    <row r="32" spans="1:41" ht="15.75" customHeight="1" thickBot="1" x14ac:dyDescent="0.55000000000000004">
      <c r="A32" s="42" t="s">
        <v>54</v>
      </c>
      <c r="B32" s="22">
        <v>0</v>
      </c>
      <c r="C32" s="22">
        <v>1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4">
        <f>SUM(D32:R32)</f>
        <v>0</v>
      </c>
      <c r="U32" s="18" t="s">
        <v>38</v>
      </c>
      <c r="V32" s="18" t="s">
        <v>50</v>
      </c>
      <c r="X32">
        <v>1</v>
      </c>
      <c r="Y32">
        <v>1</v>
      </c>
      <c r="Z32">
        <v>1</v>
      </c>
      <c r="AA32">
        <v>1</v>
      </c>
      <c r="AB32">
        <v>1</v>
      </c>
      <c r="AD32">
        <v>2</v>
      </c>
      <c r="AE32">
        <v>1</v>
      </c>
      <c r="AF32">
        <v>3</v>
      </c>
      <c r="AH32">
        <v>1</v>
      </c>
      <c r="AI32">
        <v>3</v>
      </c>
      <c r="AL32">
        <f t="shared" ref="AL32:AL35" si="6">SUM(W32:AK32)</f>
        <v>15</v>
      </c>
    </row>
    <row r="33" spans="1:38" ht="16.149999999999999" thickBot="1" x14ac:dyDescent="0.55000000000000004">
      <c r="A33" s="43"/>
      <c r="B33" s="22">
        <v>1</v>
      </c>
      <c r="C33" s="22">
        <v>13</v>
      </c>
      <c r="D33" s="28"/>
      <c r="E33" s="28">
        <v>1</v>
      </c>
      <c r="F33" s="28">
        <v>1</v>
      </c>
      <c r="G33" s="28">
        <v>1</v>
      </c>
      <c r="H33" s="28">
        <v>1</v>
      </c>
      <c r="I33" s="28">
        <v>1</v>
      </c>
      <c r="J33" s="28">
        <v>0</v>
      </c>
      <c r="K33" s="28">
        <v>2</v>
      </c>
      <c r="L33" s="28">
        <v>1</v>
      </c>
      <c r="M33" s="28">
        <v>3</v>
      </c>
      <c r="N33" s="28">
        <v>0</v>
      </c>
      <c r="O33" s="28">
        <v>1</v>
      </c>
      <c r="P33" s="40">
        <v>3</v>
      </c>
      <c r="Q33" s="28">
        <v>0</v>
      </c>
      <c r="R33" s="28">
        <v>0</v>
      </c>
      <c r="S33" s="25">
        <f t="shared" ref="S33:S40" si="7">SUM(D33:R33)</f>
        <v>15</v>
      </c>
      <c r="U33" s="18" t="s">
        <v>39</v>
      </c>
      <c r="V33" s="18" t="s">
        <v>40</v>
      </c>
      <c r="W33">
        <v>2</v>
      </c>
      <c r="Y33">
        <v>8</v>
      </c>
      <c r="Z33">
        <v>1</v>
      </c>
      <c r="AA33">
        <v>7</v>
      </c>
      <c r="AB33">
        <v>2</v>
      </c>
      <c r="AC33">
        <v>5</v>
      </c>
      <c r="AD33">
        <v>6</v>
      </c>
      <c r="AE33">
        <v>8</v>
      </c>
      <c r="AF33">
        <v>4</v>
      </c>
      <c r="AG33">
        <v>7</v>
      </c>
      <c r="AH33">
        <v>3</v>
      </c>
      <c r="AI33">
        <v>4</v>
      </c>
      <c r="AJ33">
        <v>2</v>
      </c>
      <c r="AK33">
        <v>5</v>
      </c>
      <c r="AL33" s="27">
        <f t="shared" si="6"/>
        <v>64</v>
      </c>
    </row>
    <row r="34" spans="1:38" ht="16.149999999999999" thickBot="1" x14ac:dyDescent="0.55000000000000004">
      <c r="A34" s="43"/>
      <c r="B34" s="22">
        <v>13</v>
      </c>
      <c r="C34" s="22">
        <v>14</v>
      </c>
      <c r="D34" s="29">
        <v>3</v>
      </c>
      <c r="E34" s="29">
        <v>3</v>
      </c>
      <c r="F34" s="29">
        <v>3</v>
      </c>
      <c r="G34" s="29">
        <v>1</v>
      </c>
      <c r="H34" s="29">
        <v>4</v>
      </c>
      <c r="I34" s="29">
        <v>1</v>
      </c>
      <c r="J34" s="29">
        <v>1</v>
      </c>
      <c r="K34" s="29">
        <v>3</v>
      </c>
      <c r="L34" s="29">
        <v>4</v>
      </c>
      <c r="M34" s="29">
        <v>3</v>
      </c>
      <c r="N34" s="29">
        <v>2</v>
      </c>
      <c r="O34" s="29">
        <v>1</v>
      </c>
      <c r="P34" s="29">
        <v>0</v>
      </c>
      <c r="Q34" s="39">
        <v>1</v>
      </c>
      <c r="R34" s="29">
        <v>2</v>
      </c>
      <c r="S34" s="25">
        <f t="shared" si="7"/>
        <v>32</v>
      </c>
      <c r="U34" s="18" t="s">
        <v>40</v>
      </c>
      <c r="V34" s="18" t="s">
        <v>49</v>
      </c>
      <c r="W34" s="27">
        <v>2</v>
      </c>
      <c r="X34" s="27"/>
      <c r="Y34" s="27"/>
      <c r="Z34" s="27">
        <v>3</v>
      </c>
      <c r="AA34" s="27">
        <v>9</v>
      </c>
      <c r="AB34" s="27">
        <v>3</v>
      </c>
      <c r="AC34" s="27">
        <v>6</v>
      </c>
      <c r="AD34" s="27">
        <v>8</v>
      </c>
      <c r="AE34" s="27">
        <v>8</v>
      </c>
      <c r="AF34" s="27">
        <v>5</v>
      </c>
      <c r="AG34" s="27">
        <v>9</v>
      </c>
      <c r="AH34" s="27">
        <v>3</v>
      </c>
      <c r="AI34" s="27">
        <v>5</v>
      </c>
      <c r="AJ34" s="27">
        <v>2</v>
      </c>
      <c r="AK34" s="27">
        <v>5</v>
      </c>
      <c r="AL34" s="30">
        <f t="shared" si="6"/>
        <v>68</v>
      </c>
    </row>
    <row r="35" spans="1:38" ht="16.149999999999999" thickBot="1" x14ac:dyDescent="0.55000000000000004">
      <c r="A35" s="43"/>
      <c r="B35" s="22">
        <v>14</v>
      </c>
      <c r="C35" s="22">
        <v>15</v>
      </c>
      <c r="D35" s="29">
        <v>4</v>
      </c>
      <c r="E35" s="29">
        <v>5</v>
      </c>
      <c r="F35" s="29">
        <v>4</v>
      </c>
      <c r="G35" s="29">
        <v>3</v>
      </c>
      <c r="H35" s="29">
        <v>5</v>
      </c>
      <c r="I35" s="29">
        <v>1</v>
      </c>
      <c r="J35" s="29">
        <v>4</v>
      </c>
      <c r="K35" s="29">
        <v>3</v>
      </c>
      <c r="L35" s="29">
        <v>6</v>
      </c>
      <c r="M35" s="29">
        <v>4</v>
      </c>
      <c r="N35" s="29">
        <v>4</v>
      </c>
      <c r="O35" s="29">
        <v>2</v>
      </c>
      <c r="P35" s="29">
        <v>0</v>
      </c>
      <c r="Q35" s="29">
        <v>0</v>
      </c>
      <c r="R35" s="39">
        <v>5</v>
      </c>
      <c r="S35" s="38">
        <f t="shared" si="7"/>
        <v>50</v>
      </c>
      <c r="U35" s="18" t="s">
        <v>41</v>
      </c>
      <c r="V35" s="18" t="s">
        <v>39</v>
      </c>
      <c r="W35">
        <v>2</v>
      </c>
      <c r="X35">
        <v>4</v>
      </c>
      <c r="Y35">
        <v>5</v>
      </c>
      <c r="AA35">
        <v>4</v>
      </c>
      <c r="AB35">
        <v>2</v>
      </c>
      <c r="AC35">
        <v>5</v>
      </c>
      <c r="AD35">
        <v>3</v>
      </c>
      <c r="AE35">
        <v>6</v>
      </c>
      <c r="AF35">
        <v>4</v>
      </c>
      <c r="AG35">
        <v>5</v>
      </c>
      <c r="AH35">
        <v>3</v>
      </c>
      <c r="AI35">
        <v>2</v>
      </c>
      <c r="AJ35">
        <v>2</v>
      </c>
      <c r="AK35">
        <v>3</v>
      </c>
      <c r="AL35" s="27">
        <f t="shared" si="6"/>
        <v>50</v>
      </c>
    </row>
    <row r="36" spans="1:38" ht="16.149999999999999" thickBot="1" x14ac:dyDescent="0.55000000000000004">
      <c r="A36" s="43"/>
      <c r="B36" s="22">
        <v>15</v>
      </c>
      <c r="C36" s="22">
        <v>11</v>
      </c>
      <c r="D36" s="29">
        <v>6</v>
      </c>
      <c r="E36" s="29">
        <v>7</v>
      </c>
      <c r="F36" s="29">
        <v>4</v>
      </c>
      <c r="G36" s="29">
        <v>3</v>
      </c>
      <c r="H36" s="29">
        <v>5</v>
      </c>
      <c r="I36" s="29">
        <v>1</v>
      </c>
      <c r="J36" s="29">
        <v>4</v>
      </c>
      <c r="K36" s="29">
        <v>5</v>
      </c>
      <c r="L36" s="29">
        <v>8</v>
      </c>
      <c r="M36" s="29">
        <v>5</v>
      </c>
      <c r="N36" s="39">
        <v>5</v>
      </c>
      <c r="O36" s="29">
        <v>4</v>
      </c>
      <c r="P36" s="29">
        <v>2</v>
      </c>
      <c r="Q36" s="29">
        <v>1</v>
      </c>
      <c r="R36" s="29">
        <v>0</v>
      </c>
      <c r="S36" s="25">
        <f t="shared" si="7"/>
        <v>60</v>
      </c>
      <c r="U36" s="18" t="s">
        <v>42</v>
      </c>
      <c r="V36" s="18" t="s">
        <v>43</v>
      </c>
      <c r="X36">
        <v>1</v>
      </c>
      <c r="Y36">
        <v>1</v>
      </c>
      <c r="Z36">
        <v>2</v>
      </c>
      <c r="AB36">
        <v>1</v>
      </c>
      <c r="AC36">
        <v>2</v>
      </c>
      <c r="AE36">
        <v>2</v>
      </c>
      <c r="AF36">
        <v>3</v>
      </c>
      <c r="AG36">
        <v>2</v>
      </c>
      <c r="AL36" s="27">
        <f>SUM(W36:AK36)</f>
        <v>14</v>
      </c>
    </row>
    <row r="37" spans="1:38" ht="16.149999999999999" thickBot="1" x14ac:dyDescent="0.55000000000000004">
      <c r="A37" s="43"/>
      <c r="B37" s="22">
        <v>11</v>
      </c>
      <c r="C37" s="22">
        <v>9</v>
      </c>
      <c r="D37" s="29">
        <v>9</v>
      </c>
      <c r="E37" s="29">
        <v>8</v>
      </c>
      <c r="F37" s="29">
        <v>4</v>
      </c>
      <c r="G37" s="29">
        <v>3</v>
      </c>
      <c r="H37" s="29">
        <v>6</v>
      </c>
      <c r="I37" s="29">
        <v>1</v>
      </c>
      <c r="J37" s="29">
        <v>5</v>
      </c>
      <c r="K37" s="29">
        <v>7</v>
      </c>
      <c r="L37" s="39">
        <v>9</v>
      </c>
      <c r="M37" s="29">
        <v>7</v>
      </c>
      <c r="N37" s="29">
        <v>0</v>
      </c>
      <c r="O37" s="29">
        <v>4</v>
      </c>
      <c r="P37" s="29">
        <v>4</v>
      </c>
      <c r="Q37" s="29">
        <v>1</v>
      </c>
      <c r="R37" s="29">
        <v>1</v>
      </c>
      <c r="S37" s="25">
        <f t="shared" si="7"/>
        <v>69</v>
      </c>
      <c r="U37" s="18" t="s">
        <v>43</v>
      </c>
      <c r="V37" s="18" t="s">
        <v>41</v>
      </c>
      <c r="X37">
        <v>3</v>
      </c>
      <c r="Y37">
        <v>4</v>
      </c>
      <c r="Z37">
        <v>2</v>
      </c>
      <c r="AA37">
        <v>2</v>
      </c>
      <c r="AC37">
        <v>3</v>
      </c>
      <c r="AE37">
        <v>4</v>
      </c>
      <c r="AF37">
        <v>3</v>
      </c>
      <c r="AG37">
        <v>4</v>
      </c>
      <c r="AH37">
        <v>1</v>
      </c>
      <c r="AI37">
        <v>1</v>
      </c>
      <c r="AJ37">
        <v>1</v>
      </c>
      <c r="AK37">
        <v>2</v>
      </c>
      <c r="AL37" s="27">
        <f t="shared" ref="AL37:AL46" si="8">SUM(W37:AK37)</f>
        <v>30</v>
      </c>
    </row>
    <row r="38" spans="1:38" ht="16.149999999999999" thickBot="1" x14ac:dyDescent="0.55000000000000004">
      <c r="A38" s="43"/>
      <c r="B38" s="22">
        <v>9</v>
      </c>
      <c r="C38" s="22">
        <v>8</v>
      </c>
      <c r="D38" s="29">
        <v>11</v>
      </c>
      <c r="E38" s="29">
        <v>9</v>
      </c>
      <c r="F38" s="29">
        <v>4</v>
      </c>
      <c r="G38" s="29">
        <v>4</v>
      </c>
      <c r="H38" s="29">
        <v>6</v>
      </c>
      <c r="I38" s="29">
        <v>1</v>
      </c>
      <c r="J38" s="29">
        <v>5</v>
      </c>
      <c r="K38" s="39">
        <v>7</v>
      </c>
      <c r="L38" s="29">
        <v>0</v>
      </c>
      <c r="M38" s="29">
        <v>9</v>
      </c>
      <c r="N38" s="29">
        <v>1</v>
      </c>
      <c r="O38" s="29">
        <v>6</v>
      </c>
      <c r="P38" s="29">
        <v>5</v>
      </c>
      <c r="Q38" s="29">
        <v>1</v>
      </c>
      <c r="R38" s="29">
        <v>3</v>
      </c>
      <c r="S38" s="25">
        <f t="shared" si="7"/>
        <v>72</v>
      </c>
      <c r="U38" s="18" t="s">
        <v>44</v>
      </c>
      <c r="V38" s="18" t="s">
        <v>37</v>
      </c>
      <c r="W38">
        <v>6</v>
      </c>
      <c r="X38">
        <v>3</v>
      </c>
      <c r="Y38">
        <v>2</v>
      </c>
      <c r="Z38">
        <v>5</v>
      </c>
      <c r="AA38">
        <v>11</v>
      </c>
      <c r="AB38">
        <v>4</v>
      </c>
      <c r="AD38">
        <v>8</v>
      </c>
      <c r="AE38">
        <v>12</v>
      </c>
      <c r="AF38">
        <v>5</v>
      </c>
      <c r="AG38">
        <v>12</v>
      </c>
      <c r="AH38">
        <v>2</v>
      </c>
      <c r="AI38">
        <v>7</v>
      </c>
      <c r="AJ38">
        <v>5</v>
      </c>
      <c r="AK38">
        <v>5</v>
      </c>
      <c r="AL38" s="30">
        <f t="shared" si="8"/>
        <v>87</v>
      </c>
    </row>
    <row r="39" spans="1:38" ht="16.149999999999999" thickBot="1" x14ac:dyDescent="0.55000000000000004">
      <c r="A39" s="43"/>
      <c r="B39" s="22">
        <v>8</v>
      </c>
      <c r="C39" s="22">
        <v>10</v>
      </c>
      <c r="D39" s="29">
        <v>13</v>
      </c>
      <c r="E39" s="29">
        <v>10</v>
      </c>
      <c r="F39" s="29">
        <v>4</v>
      </c>
      <c r="G39" s="29">
        <v>4</v>
      </c>
      <c r="H39" s="29">
        <v>8</v>
      </c>
      <c r="I39" s="29">
        <v>3</v>
      </c>
      <c r="J39" s="29">
        <v>7</v>
      </c>
      <c r="K39" s="29">
        <v>0</v>
      </c>
      <c r="L39" s="29">
        <v>2</v>
      </c>
      <c r="M39" s="39">
        <v>9</v>
      </c>
      <c r="N39" s="29">
        <v>1</v>
      </c>
      <c r="O39" s="29">
        <v>6</v>
      </c>
      <c r="P39" s="29">
        <v>7</v>
      </c>
      <c r="Q39" s="29">
        <v>2</v>
      </c>
      <c r="R39" s="29">
        <v>5</v>
      </c>
      <c r="S39" s="25">
        <f t="shared" si="7"/>
        <v>81</v>
      </c>
      <c r="U39" s="18" t="s">
        <v>45</v>
      </c>
      <c r="V39" s="18" t="s">
        <v>47</v>
      </c>
      <c r="W39">
        <v>13</v>
      </c>
      <c r="X39">
        <v>10</v>
      </c>
      <c r="Y39">
        <v>4</v>
      </c>
      <c r="Z39">
        <v>4</v>
      </c>
      <c r="AA39">
        <v>8</v>
      </c>
      <c r="AB39">
        <v>3</v>
      </c>
      <c r="AC39">
        <v>7</v>
      </c>
      <c r="AE39">
        <v>2</v>
      </c>
      <c r="AF39">
        <v>9</v>
      </c>
      <c r="AG39">
        <v>1</v>
      </c>
      <c r="AH39">
        <v>6</v>
      </c>
      <c r="AI39">
        <v>7</v>
      </c>
      <c r="AJ39">
        <v>2</v>
      </c>
      <c r="AK39">
        <v>5</v>
      </c>
      <c r="AL39">
        <f t="shared" si="8"/>
        <v>81</v>
      </c>
    </row>
    <row r="40" spans="1:38" ht="15.75" x14ac:dyDescent="0.5">
      <c r="A40" s="43"/>
      <c r="B40" s="22">
        <v>10</v>
      </c>
      <c r="C40" s="22">
        <v>0</v>
      </c>
      <c r="D40" s="29">
        <v>15</v>
      </c>
      <c r="E40" s="29">
        <v>13</v>
      </c>
      <c r="F40" s="29">
        <v>4</v>
      </c>
      <c r="G40" s="29">
        <v>5</v>
      </c>
      <c r="H40" s="29">
        <v>10</v>
      </c>
      <c r="I40" s="29">
        <v>4</v>
      </c>
      <c r="J40" s="29">
        <v>9</v>
      </c>
      <c r="K40" s="29">
        <v>1</v>
      </c>
      <c r="L40" s="29">
        <v>4</v>
      </c>
      <c r="M40" s="29">
        <v>0</v>
      </c>
      <c r="N40" s="29">
        <v>1</v>
      </c>
      <c r="O40" s="29">
        <v>7</v>
      </c>
      <c r="P40" s="29">
        <v>10</v>
      </c>
      <c r="Q40" s="29">
        <v>3</v>
      </c>
      <c r="R40" s="29">
        <v>5</v>
      </c>
      <c r="S40" s="26">
        <f t="shared" si="7"/>
        <v>91</v>
      </c>
      <c r="U40" s="18" t="s">
        <v>46</v>
      </c>
      <c r="V40" s="18" t="s">
        <v>45</v>
      </c>
      <c r="W40">
        <v>11</v>
      </c>
      <c r="X40">
        <v>9</v>
      </c>
      <c r="Y40">
        <v>4</v>
      </c>
      <c r="Z40">
        <v>4</v>
      </c>
      <c r="AA40">
        <v>6</v>
      </c>
      <c r="AB40">
        <v>1</v>
      </c>
      <c r="AC40">
        <v>5</v>
      </c>
      <c r="AD40">
        <v>7</v>
      </c>
      <c r="AF40">
        <v>9</v>
      </c>
      <c r="AG40">
        <v>1</v>
      </c>
      <c r="AH40">
        <v>6</v>
      </c>
      <c r="AI40">
        <v>5</v>
      </c>
      <c r="AJ40">
        <v>1</v>
      </c>
      <c r="AK40">
        <v>3</v>
      </c>
      <c r="AL40">
        <f t="shared" si="8"/>
        <v>72</v>
      </c>
    </row>
    <row r="41" spans="1:38" x14ac:dyDescent="0.45">
      <c r="U41" s="18" t="s">
        <v>47</v>
      </c>
      <c r="V41" s="18" t="s">
        <v>37</v>
      </c>
      <c r="W41">
        <v>15</v>
      </c>
      <c r="X41">
        <v>13</v>
      </c>
      <c r="Y41">
        <v>4</v>
      </c>
      <c r="Z41">
        <v>5</v>
      </c>
      <c r="AA41">
        <v>10</v>
      </c>
      <c r="AB41">
        <v>4</v>
      </c>
      <c r="AC41">
        <v>9</v>
      </c>
      <c r="AD41">
        <v>1</v>
      </c>
      <c r="AE41">
        <v>4</v>
      </c>
      <c r="AG41">
        <v>1</v>
      </c>
      <c r="AH41">
        <v>7</v>
      </c>
      <c r="AI41">
        <v>10</v>
      </c>
      <c r="AJ41">
        <v>3</v>
      </c>
      <c r="AK41">
        <v>5</v>
      </c>
      <c r="AL41">
        <f t="shared" si="8"/>
        <v>91</v>
      </c>
    </row>
    <row r="42" spans="1:38" x14ac:dyDescent="0.45">
      <c r="U42" s="18" t="s">
        <v>48</v>
      </c>
      <c r="V42" s="18" t="s">
        <v>46</v>
      </c>
      <c r="W42">
        <v>9</v>
      </c>
      <c r="X42">
        <v>8</v>
      </c>
      <c r="Y42">
        <v>4</v>
      </c>
      <c r="Z42">
        <v>3</v>
      </c>
      <c r="AA42">
        <v>6</v>
      </c>
      <c r="AB42">
        <v>1</v>
      </c>
      <c r="AC42">
        <v>5</v>
      </c>
      <c r="AD42">
        <v>7</v>
      </c>
      <c r="AE42">
        <v>9</v>
      </c>
      <c r="AF42">
        <v>7</v>
      </c>
      <c r="AH42">
        <v>4</v>
      </c>
      <c r="AI42">
        <v>4</v>
      </c>
      <c r="AJ42">
        <v>1</v>
      </c>
      <c r="AK42">
        <v>1</v>
      </c>
      <c r="AL42">
        <f t="shared" si="8"/>
        <v>69</v>
      </c>
    </row>
    <row r="43" spans="1:38" x14ac:dyDescent="0.45">
      <c r="U43" s="18" t="s">
        <v>49</v>
      </c>
      <c r="V43" s="18" t="s">
        <v>44</v>
      </c>
      <c r="W43">
        <v>4</v>
      </c>
      <c r="X43">
        <v>2</v>
      </c>
      <c r="Z43">
        <v>4</v>
      </c>
      <c r="AA43">
        <v>10</v>
      </c>
      <c r="AB43">
        <v>4</v>
      </c>
      <c r="AC43">
        <v>7</v>
      </c>
      <c r="AD43">
        <v>8</v>
      </c>
      <c r="AE43">
        <v>10</v>
      </c>
      <c r="AF43">
        <v>5</v>
      </c>
      <c r="AG43">
        <v>9</v>
      </c>
      <c r="AI43">
        <v>6</v>
      </c>
      <c r="AJ43">
        <v>3</v>
      </c>
      <c r="AK43">
        <v>5</v>
      </c>
      <c r="AL43" s="30">
        <f t="shared" si="8"/>
        <v>77</v>
      </c>
    </row>
    <row r="44" spans="1:38" x14ac:dyDescent="0.45">
      <c r="U44" s="18" t="s">
        <v>50</v>
      </c>
      <c r="V44" s="18" t="s">
        <v>51</v>
      </c>
      <c r="W44">
        <v>3</v>
      </c>
      <c r="X44">
        <v>3</v>
      </c>
      <c r="Y44">
        <v>3</v>
      </c>
      <c r="Z44">
        <v>1</v>
      </c>
      <c r="AA44">
        <v>4</v>
      </c>
      <c r="AB44">
        <v>1</v>
      </c>
      <c r="AC44">
        <v>1</v>
      </c>
      <c r="AD44">
        <v>3</v>
      </c>
      <c r="AE44">
        <v>4</v>
      </c>
      <c r="AF44">
        <v>3</v>
      </c>
      <c r="AG44">
        <v>2</v>
      </c>
      <c r="AH44">
        <v>1</v>
      </c>
      <c r="AJ44">
        <v>1</v>
      </c>
      <c r="AK44">
        <v>2</v>
      </c>
      <c r="AL44">
        <f t="shared" si="8"/>
        <v>32</v>
      </c>
    </row>
    <row r="45" spans="1:38" x14ac:dyDescent="0.45">
      <c r="U45" s="18" t="s">
        <v>51</v>
      </c>
      <c r="V45" s="18" t="s">
        <v>52</v>
      </c>
      <c r="W45">
        <v>4</v>
      </c>
      <c r="X45">
        <v>5</v>
      </c>
      <c r="Y45">
        <v>4</v>
      </c>
      <c r="Z45">
        <v>3</v>
      </c>
      <c r="AA45">
        <v>5</v>
      </c>
      <c r="AB45">
        <v>1</v>
      </c>
      <c r="AC45">
        <v>4</v>
      </c>
      <c r="AD45">
        <v>3</v>
      </c>
      <c r="AE45">
        <v>6</v>
      </c>
      <c r="AF45">
        <v>4</v>
      </c>
      <c r="AG45">
        <v>4</v>
      </c>
      <c r="AH45">
        <v>2</v>
      </c>
      <c r="AK45">
        <v>5</v>
      </c>
      <c r="AL45">
        <f t="shared" si="8"/>
        <v>50</v>
      </c>
    </row>
    <row r="46" spans="1:38" x14ac:dyDescent="0.45">
      <c r="U46" s="18" t="s">
        <v>52</v>
      </c>
      <c r="V46" s="18" t="s">
        <v>48</v>
      </c>
      <c r="W46">
        <v>6</v>
      </c>
      <c r="X46">
        <v>7</v>
      </c>
      <c r="Y46">
        <v>4</v>
      </c>
      <c r="Z46">
        <v>3</v>
      </c>
      <c r="AA46">
        <v>5</v>
      </c>
      <c r="AB46">
        <v>1</v>
      </c>
      <c r="AC46">
        <v>4</v>
      </c>
      <c r="AD46">
        <v>5</v>
      </c>
      <c r="AE46">
        <v>8</v>
      </c>
      <c r="AF46">
        <v>5</v>
      </c>
      <c r="AG46">
        <v>5</v>
      </c>
      <c r="AH46">
        <v>4</v>
      </c>
      <c r="AI46">
        <v>2</v>
      </c>
      <c r="AJ46">
        <v>1</v>
      </c>
      <c r="AL46">
        <f t="shared" si="8"/>
        <v>60</v>
      </c>
    </row>
  </sheetData>
  <mergeCells count="8">
    <mergeCell ref="A32:A40"/>
    <mergeCell ref="D18:R18"/>
    <mergeCell ref="A20:A27"/>
    <mergeCell ref="S18:S19"/>
    <mergeCell ref="A18:C19"/>
    <mergeCell ref="A30:C31"/>
    <mergeCell ref="D30:R30"/>
    <mergeCell ref="S30:S31"/>
  </mergeCells>
  <pageMargins left="0.7" right="0.7" top="0.75" bottom="0.75" header="0.3" footer="0.3"/>
  <ignoredErrors>
    <ignoredError sqref="S32:S4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Distribución Kandoo Lockers- Ub</vt:lpstr>
      <vt:lpstr>Datos</vt:lpstr>
      <vt:lpstr>GAMS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Antonio De Santis Bermeo</dc:creator>
  <cp:lastModifiedBy>David Antonio De Santis Bermeo</cp:lastModifiedBy>
  <dcterms:created xsi:type="dcterms:W3CDTF">2024-01-19T16:03:42Z</dcterms:created>
  <dcterms:modified xsi:type="dcterms:W3CDTF">2026-07-13T15:23:07Z</dcterms:modified>
</cp:coreProperties>
</file>